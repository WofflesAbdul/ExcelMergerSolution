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Merge\Resource\"/>
    </mc:Choice>
  </mc:AlternateContent>
  <xr:revisionPtr revIDLastSave="0" documentId="13_ncr:1_{AA53B238-8931-4780-83B6-BE2787DEAE13}" xr6:coauthVersionLast="47" xr6:coauthVersionMax="47" xr10:uidLastSave="{00000000-0000-0000-0000-000000000000}"/>
  <bookViews>
    <workbookView xWindow="14295" yWindow="0" windowWidth="14610" windowHeight="15585" activeTab="1" xr2:uid="{153DA0B8-9E7B-40BD-A5AD-740824EDFEF6}"/>
  </bookViews>
  <sheets>
    <sheet name="Cover Page" sheetId="2" r:id="rId1"/>
    <sheet name="Summary" sheetId="1" r:id="rId2"/>
    <sheet name="Lookup" sheetId="3" state="hidden" r:id="rId3"/>
  </sheets>
  <definedNames>
    <definedName name="_xlnm._FilterDatabase" localSheetId="1" hidden="1">Summary!$C$12:$C$13</definedName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SlotLookup">FlXProSlotInfoTable[Slot / Chassis]</definedName>
    <definedName name="TestLookup">TestItemTable[ITEMS]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3" i="1" l="1"/>
  <c r="A13" i="1" s="1"/>
  <c r="H13" i="1"/>
  <c r="J13" i="1"/>
  <c r="K13" i="1" a="1"/>
  <c r="K13" i="1" s="1"/>
  <c r="M13" i="1"/>
  <c r="N13" i="1"/>
  <c r="O13" i="1"/>
  <c r="Q13" i="1" l="1" a="1"/>
  <c r="Q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<sst xmlns="http://schemas.openxmlformats.org/spreadsheetml/2006/main" count="266" uniqueCount="171">
  <si>
    <t>TESTED MODELS:</t>
  </si>
  <si>
    <t>TESTED TEMPERATURE:</t>
  </si>
  <si>
    <t>Slot / Chassis</t>
  </si>
  <si>
    <t>Model</t>
  </si>
  <si>
    <t>Firmware</t>
  </si>
  <si>
    <t>Serial Number</t>
  </si>
  <si>
    <t>Notes</t>
  </si>
  <si>
    <t>Chassis / Standby</t>
  </si>
  <si>
    <t>-</t>
  </si>
  <si>
    <t>Slot 1</t>
  </si>
  <si>
    <t>Slot 2</t>
  </si>
  <si>
    <t>Slot 3</t>
  </si>
  <si>
    <t>Slot 4</t>
  </si>
  <si>
    <t>Slot 5</t>
  </si>
  <si>
    <t>Slot 6</t>
  </si>
  <si>
    <t>Test Condition</t>
  </si>
  <si>
    <t>Module Information</t>
  </si>
  <si>
    <t>Test Outcome</t>
  </si>
  <si>
    <t>DVT</t>
  </si>
  <si>
    <t>OMS</t>
  </si>
  <si>
    <t>Test Item</t>
  </si>
  <si>
    <t>Specification</t>
  </si>
  <si>
    <t>Value</t>
  </si>
  <si>
    <t>Results</t>
  </si>
  <si>
    <t>Input Voltage Turn On</t>
  </si>
  <si>
    <t>Input Voltage Turn Off</t>
  </si>
  <si>
    <t>Input Current</t>
  </si>
  <si>
    <t>No Load Input Power</t>
  </si>
  <si>
    <t>Inrush Current</t>
  </si>
  <si>
    <t>Power Factor</t>
  </si>
  <si>
    <t>Efficiency</t>
  </si>
  <si>
    <t>Line Regulation</t>
  </si>
  <si>
    <t>Load Regulation</t>
  </si>
  <si>
    <t>Start Up Time</t>
  </si>
  <si>
    <t>Start Up Rise Time</t>
  </si>
  <si>
    <t>Hold-Up Time</t>
  </si>
  <si>
    <t>Turn Off Fall Time</t>
  </si>
  <si>
    <t>Turn On Overshoot</t>
  </si>
  <si>
    <t>Over Current Protection</t>
  </si>
  <si>
    <t>Over Voltage Protection</t>
  </si>
  <si>
    <t>AC OK (Turn On)</t>
  </si>
  <si>
    <t>AC OK (Turn Off)</t>
  </si>
  <si>
    <t>DC OK (Turn On)</t>
  </si>
  <si>
    <t>DC OK (Turn Off)</t>
  </si>
  <si>
    <t>Transient Response</t>
  </si>
  <si>
    <t>Current Limit Setting</t>
  </si>
  <si>
    <t>Current Output Reading</t>
  </si>
  <si>
    <t>Voltage Output Setting</t>
  </si>
  <si>
    <t>Voltage Output Reading</t>
  </si>
  <si>
    <t>Auto-DVT - Test Result</t>
  </si>
  <si>
    <t>Model Name:</t>
  </si>
  <si>
    <t>S/N:</t>
  </si>
  <si>
    <t>F/W:</t>
  </si>
  <si>
    <t>Rev</t>
  </si>
  <si>
    <t>Description</t>
  </si>
  <si>
    <t>Engineer</t>
  </si>
  <si>
    <t>Date Prepared</t>
  </si>
  <si>
    <t>Checked</t>
  </si>
  <si>
    <t>Date Checked</t>
  </si>
  <si>
    <t>A</t>
  </si>
  <si>
    <t>ITEMS</t>
  </si>
  <si>
    <t>XP-12-02</t>
  </si>
  <si>
    <t>OMS0165</t>
  </si>
  <si>
    <t>XP-12-03</t>
  </si>
  <si>
    <t>OMS0168</t>
  </si>
  <si>
    <t>XP-12-04</t>
  </si>
  <si>
    <t>OMS0166</t>
  </si>
  <si>
    <t>XP-12-05</t>
  </si>
  <si>
    <t>OMS0167</t>
  </si>
  <si>
    <t>XP-12-06</t>
  </si>
  <si>
    <t>OMS0169</t>
  </si>
  <si>
    <t>Inhibit Input Power</t>
  </si>
  <si>
    <t>XP-12-08</t>
  </si>
  <si>
    <t>OMS0171</t>
  </si>
  <si>
    <t>XP-12-09</t>
  </si>
  <si>
    <t>OMS0170</t>
  </si>
  <si>
    <t>XP-12-10</t>
  </si>
  <si>
    <t>OMS0173</t>
  </si>
  <si>
    <t>Harmonics Current</t>
  </si>
  <si>
    <t>XP-12-12</t>
  </si>
  <si>
    <t>OMS0174</t>
  </si>
  <si>
    <t>XP-12-13</t>
  </si>
  <si>
    <t>OMS0177</t>
  </si>
  <si>
    <t>XP-12-14</t>
  </si>
  <si>
    <t>OMS0175</t>
  </si>
  <si>
    <t>XP-12-15</t>
  </si>
  <si>
    <t>OMS0179</t>
  </si>
  <si>
    <t>XP-12-16</t>
  </si>
  <si>
    <t>OMS0176</t>
  </si>
  <si>
    <t>XP-12-17</t>
  </si>
  <si>
    <t>OMS0181</t>
  </si>
  <si>
    <t>XP-12-18</t>
  </si>
  <si>
    <t>OMS0180</t>
  </si>
  <si>
    <t>Output Voltage Setting Accuracy</t>
  </si>
  <si>
    <t>XP-12-19</t>
  </si>
  <si>
    <t>OMS0183</t>
  </si>
  <si>
    <t>XP-12-20</t>
  </si>
  <si>
    <t>OMS0182</t>
  </si>
  <si>
    <t>XP-12-22</t>
  </si>
  <si>
    <t>OMS0185</t>
  </si>
  <si>
    <t>XP-12-23</t>
  </si>
  <si>
    <t>OMS0186</t>
  </si>
  <si>
    <t>XP-12-27</t>
  </si>
  <si>
    <t>OMS0190</t>
  </si>
  <si>
    <t>XP-12-36</t>
  </si>
  <si>
    <t>OMS0199</t>
  </si>
  <si>
    <t>Temperature Coefficient</t>
  </si>
  <si>
    <t>XP-12-37</t>
  </si>
  <si>
    <t>OMS0201</t>
  </si>
  <si>
    <t>Thermal Protection</t>
  </si>
  <si>
    <t>XP-12-45</t>
  </si>
  <si>
    <t>OMS0207</t>
  </si>
  <si>
    <t>Initial Set Accuracy</t>
  </si>
  <si>
    <t>XP-12-51</t>
  </si>
  <si>
    <t>OMS0214</t>
  </si>
  <si>
    <t>Output Voltage Stability</t>
  </si>
  <si>
    <t>OMS0191</t>
  </si>
  <si>
    <t>OMS0192</t>
  </si>
  <si>
    <t>OMS1608</t>
  </si>
  <si>
    <t>Short Circuit Protection</t>
  </si>
  <si>
    <t>Early Warning Time</t>
  </si>
  <si>
    <t>IPROG Accuracy</t>
  </si>
  <si>
    <t>IPROG Emulation</t>
  </si>
  <si>
    <t>VPROG Accuracy</t>
  </si>
  <si>
    <t>VPROG Emulation</t>
  </si>
  <si>
    <t>Qualifier</t>
  </si>
  <si>
    <t>Unit</t>
  </si>
  <si>
    <t>None</t>
  </si>
  <si>
    <t>%</t>
  </si>
  <si>
    <t>VAC</t>
  </si>
  <si>
    <t>V</t>
  </si>
  <si>
    <t>mA</t>
  </si>
  <si>
    <t>W</t>
  </si>
  <si>
    <t>kW</t>
  </si>
  <si>
    <t>ms</t>
  </si>
  <si>
    <t>s</t>
  </si>
  <si>
    <t>≤</t>
  </si>
  <si>
    <t>≥</t>
  </si>
  <si>
    <t>±</t>
  </si>
  <si>
    <t>Q.Value</t>
  </si>
  <si>
    <t>IAC</t>
  </si>
  <si>
    <t>Pending</t>
  </si>
  <si>
    <t>Comments</t>
  </si>
  <si>
    <t>Ripple</t>
  </si>
  <si>
    <t>Noise</t>
  </si>
  <si>
    <t>% (V)</t>
  </si>
  <si>
    <t>% (Vrms)</t>
  </si>
  <si>
    <t>% (A)</t>
  </si>
  <si>
    <t>Global DC OK (Turn On)</t>
  </si>
  <si>
    <t>Global DC OK (Turn Off)</t>
  </si>
  <si>
    <t>Ipk+</t>
  </si>
  <si>
    <r>
      <t>% (V</t>
    </r>
    <r>
      <rPr>
        <vertAlign val="subscript"/>
        <sz val="11"/>
        <color theme="1"/>
        <rFont val="Aptos Narrow"/>
        <family val="2"/>
        <scheme val="minor"/>
      </rPr>
      <t>pp</t>
    </r>
    <r>
      <rPr>
        <sz val="11"/>
        <color theme="1"/>
        <rFont val="Aptos Narrow"/>
        <family val="2"/>
        <scheme val="minor"/>
      </rPr>
      <t>)</t>
    </r>
  </si>
  <si>
    <r>
      <t>% (V</t>
    </r>
    <r>
      <rPr>
        <vertAlign val="subscript"/>
        <sz val="11"/>
        <color theme="1"/>
        <rFont val="Aptos Narrow"/>
        <family val="2"/>
        <scheme val="minor"/>
      </rPr>
      <t>rms</t>
    </r>
    <r>
      <rPr>
        <sz val="11"/>
        <color theme="1"/>
        <rFont val="Aptos Narrow"/>
        <family val="2"/>
        <scheme val="minor"/>
      </rPr>
      <t>)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</si>
  <si>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pk+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</si>
  <si>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</si>
  <si>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</si>
  <si>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</si>
  <si>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</si>
  <si>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% (V</t>
    </r>
    <r>
      <rPr>
        <vertAlign val="subscript"/>
        <sz val="10"/>
        <rFont val="Arial"/>
        <family val="2"/>
      </rPr>
      <t>pp</t>
    </r>
    <r>
      <rPr>
        <sz val="10"/>
        <rFont val="Arial"/>
        <family val="2"/>
      </rPr>
      <t>)</t>
    </r>
  </si>
  <si>
    <t>{{DUT_Firmware_Number}}</t>
  </si>
  <si>
    <t>{{DUT_Serial_Number}}</t>
  </si>
  <si>
    <t>{{DUT_Model_Name}}</t>
  </si>
  <si>
    <t>{{Temperature_Under_Test}}</t>
  </si>
  <si>
    <t>AC:DC Product
(Cross/Ambient) Temperature</t>
  </si>
  <si>
    <r>
      <t xml:space="preserve">Input Voltage
</t>
    </r>
    <r>
      <rPr>
        <b/>
        <sz val="10"/>
        <rFont val="Arial"/>
        <family val="2"/>
      </rPr>
      <t>(VAC)</t>
    </r>
  </si>
  <si>
    <t>DVT Test Item Information</t>
  </si>
  <si>
    <t>Do Not Change</t>
  </si>
  <si>
    <t>Placeholder</t>
  </si>
  <si>
    <r>
      <t>Output Load</t>
    </r>
    <r>
      <rPr>
        <b/>
        <sz val="10"/>
        <rFont val="Arial"/>
        <family val="2"/>
      </rPr>
      <t xml:space="preserve">
(%)</t>
    </r>
  </si>
  <si>
    <r>
      <t xml:space="preserve">Output Voltage
</t>
    </r>
    <r>
      <rPr>
        <b/>
        <sz val="10"/>
        <rFont val="Arial"/>
        <family val="2"/>
      </rPr>
      <t>(%)</t>
    </r>
  </si>
  <si>
    <r>
      <t xml:space="preserve">Temperature
</t>
    </r>
    <r>
      <rPr>
        <b/>
        <sz val="10"/>
        <rFont val="Arial"/>
        <family val="2"/>
      </rPr>
      <t>(℃)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</si>
</sst>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3409]dd\-mmm\-yy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b/>
      <sz val="1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8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vertAlign val="subscript"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156082"/>
        <bgColor rgb="FF156082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</cellStyleXfs>
  <cellXfs count="103">
    <xf numFmtId="0" fontId="0" fillId="0" borderId="0" xfId="0"/>
    <xf numFmtId="0" fontId="3" fillId="0" borderId="0" xfId="4"/>
    <xf numFmtId="0" fontId="6" fillId="0" borderId="0" xfId="4" applyFont="1"/>
    <xf numFmtId="0" fontId="13" fillId="0" borderId="0" xfId="4" applyFont="1"/>
    <xf numFmtId="0" fontId="14" fillId="0" borderId="0" xfId="4" applyFont="1"/>
    <xf numFmtId="165" fontId="6" fillId="0" borderId="0" xfId="4" applyNumberFormat="1" applyFont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3" fillId="0" borderId="0" xfId="4" applyAlignment="1">
      <alignment vertical="top" wrapText="1"/>
    </xf>
    <xf numFmtId="0" fontId="15" fillId="0" borderId="9" xfId="4" applyFont="1" applyBorder="1" applyAlignment="1">
      <alignment horizontal="center" vertical="center"/>
    </xf>
    <xf numFmtId="0" fontId="15" fillId="0" borderId="10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/>
    </xf>
    <xf numFmtId="165" fontId="15" fillId="0" borderId="8" xfId="4" applyNumberFormat="1" applyFont="1" applyBorder="1" applyAlignment="1">
      <alignment horizontal="center" vertical="center"/>
    </xf>
    <xf numFmtId="165" fontId="15" fillId="0" borderId="10" xfId="4" applyNumberFormat="1" applyFont="1" applyBorder="1" applyAlignment="1">
      <alignment horizontal="center" vertical="center"/>
    </xf>
    <xf numFmtId="0" fontId="16" fillId="0" borderId="9" xfId="4" quotePrefix="1" applyFont="1" applyBorder="1" applyAlignment="1">
      <alignment horizontal="center" vertical="center"/>
    </xf>
    <xf numFmtId="0" fontId="16" fillId="0" borderId="10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165" fontId="16" fillId="0" borderId="8" xfId="4" applyNumberFormat="1" applyFont="1" applyBorder="1" applyAlignment="1">
      <alignment horizontal="center" vertical="center"/>
    </xf>
    <xf numFmtId="0" fontId="3" fillId="0" borderId="0" xfId="4" applyAlignment="1">
      <alignment horizontal="center"/>
    </xf>
    <xf numFmtId="0" fontId="13" fillId="0" borderId="0" xfId="4" applyFont="1" applyAlignment="1">
      <alignment horizontal="right"/>
    </xf>
    <xf numFmtId="0" fontId="13" fillId="0" borderId="0" xfId="4" applyFont="1" applyAlignment="1">
      <alignment horizontal="left"/>
    </xf>
    <xf numFmtId="0" fontId="10" fillId="0" borderId="0" xfId="4" applyFont="1" applyAlignment="1">
      <alignment horizontal="center" vertical="center"/>
    </xf>
    <xf numFmtId="0" fontId="11" fillId="0" borderId="0" xfId="4" applyFont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0" fillId="0" borderId="0" xfId="4" applyFont="1" applyAlignment="1">
      <alignment horizontal="right"/>
    </xf>
    <xf numFmtId="0" fontId="10" fillId="0" borderId="0" xfId="4" applyFont="1"/>
    <xf numFmtId="0" fontId="12" fillId="0" borderId="0" xfId="4" applyFont="1" applyAlignment="1">
      <alignment horizontal="right"/>
    </xf>
    <xf numFmtId="0" fontId="12" fillId="0" borderId="0" xfId="4" applyFont="1"/>
    <xf numFmtId="0" fontId="3" fillId="0" borderId="3" xfId="0" applyFont="1" applyBorder="1" applyAlignment="1" applyProtection="1">
      <alignment horizontal="left" vertical="center"/>
    </xf>
    <xf numFmtId="0" fontId="9" fillId="0" borderId="3" xfId="0" applyFont="1" applyBorder="1" applyAlignment="1" applyProtection="1">
      <alignment horizontal="center" vertical="center"/>
    </xf>
    <xf numFmtId="0" fontId="17" fillId="3" borderId="0" xfId="0" applyFont="1" applyFill="1" applyAlignment="1" applyProtection="1">
      <alignment vertical="center"/>
    </xf>
    <xf numFmtId="0" fontId="17" fillId="3" borderId="0" xfId="0" applyFont="1" applyFill="1" applyAlignment="1" applyProtection="1">
      <alignment horizontal="left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12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11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2" fillId="2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3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3" xfId="3" applyFont="1" applyBorder="1" applyAlignment="1" applyProtection="1">
      <alignment horizontal="center" vertical="center"/>
      <protection locked="0"/>
    </xf>
    <xf numFmtId="2" fontId="3" fillId="0" borderId="3" xfId="3" applyNumberFormat="1" applyFont="1" applyBorder="1" applyAlignment="1" applyProtection="1">
      <alignment horizontal="center" vertical="center"/>
      <protection locked="0"/>
    </xf>
    <xf numFmtId="0" fontId="9" fillId="0" borderId="3" xfId="3" applyFont="1" applyBorder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3" applyFont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3" fillId="0" borderId="0" xfId="3" applyFont="1" applyAlignment="1" applyProtection="1">
      <alignment horizontal="left" vertical="center"/>
      <protection locked="0"/>
    </xf>
    <xf numFmtId="0" fontId="4" fillId="0" borderId="0" xfId="3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vertic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164" fontId="3" fillId="0" borderId="0" xfId="1" applyNumberFormat="1" applyFont="1" applyFill="1" applyBorder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" fillId="0" borderId="0" xfId="3" applyFont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6" fillId="0" borderId="0" xfId="3" applyFont="1" applyAlignment="1" applyProtection="1">
      <alignment vertical="center"/>
      <protection locked="0"/>
    </xf>
    <xf numFmtId="0" fontId="4" fillId="0" borderId="0" xfId="3" applyFont="1" applyAlignment="1" applyProtection="1">
      <alignment horizontal="center" vertical="center"/>
      <protection locked="0"/>
    </xf>
    <xf numFmtId="0" fontId="6" fillId="0" borderId="0" xfId="3" applyFont="1" applyAlignment="1" applyProtection="1">
      <alignment horizontal="center" vertical="center"/>
      <protection locked="0"/>
    </xf>
    <xf numFmtId="0" fontId="3" fillId="0" borderId="0" xfId="3" applyFont="1" applyAlignment="1" applyProtection="1">
      <alignment horizontal="left" vertical="center" indent="2"/>
      <protection locked="0"/>
    </xf>
    <xf numFmtId="0" fontId="3" fillId="0" borderId="0" xfId="2" applyAlignment="1" applyProtection="1">
      <alignment vertical="center"/>
      <protection locked="0"/>
    </xf>
    <xf numFmtId="0" fontId="6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left" vertical="center"/>
      <protection locked="0"/>
    </xf>
    <xf numFmtId="0" fontId="3" fillId="0" borderId="0" xfId="2" applyAlignment="1" applyProtection="1">
      <alignment horizontal="center"/>
      <protection locked="0"/>
    </xf>
    <xf numFmtId="0" fontId="3" fillId="0" borderId="0" xfId="2" applyProtection="1"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7" xfId="3" applyFont="1" applyBorder="1" applyAlignment="1" applyProtection="1">
      <alignment horizontal="center" vertical="center" wrapText="1"/>
      <protection locked="0"/>
    </xf>
    <xf numFmtId="0" fontId="6" fillId="0" borderId="13" xfId="3" applyFont="1" applyBorder="1" applyAlignment="1" applyProtection="1">
      <alignment horizontal="center" vertical="center" wrapText="1"/>
      <protection locked="0"/>
    </xf>
    <xf numFmtId="0" fontId="6" fillId="0" borderId="6" xfId="3" applyFont="1" applyBorder="1" applyAlignment="1" applyProtection="1">
      <alignment horizontal="center" vertical="center" wrapText="1"/>
      <protection locked="0"/>
    </xf>
    <xf numFmtId="0" fontId="6" fillId="0" borderId="3" xfId="3" applyFont="1" applyBorder="1" applyAlignment="1" applyProtection="1">
      <alignment horizontal="center" vertical="center" wrapText="1"/>
      <protection locked="0"/>
    </xf>
    <xf numFmtId="0" fontId="8" fillId="0" borderId="3" xfId="3" applyFont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21" fillId="2" borderId="3" xfId="0" applyFont="1" applyFill="1" applyBorder="1" applyAlignment="1" applyProtection="1">
      <alignment horizontal="center" vertical="center" wrapText="1"/>
      <protection locked="0"/>
    </xf>
    <xf numFmtId="0" fontId="6" fillId="2" borderId="3" xfId="0" applyFont="1" applyFill="1" applyBorder="1" applyAlignment="1" applyProtection="1">
      <alignment horizontal="center" vertical="center" wrapText="1"/>
      <protection locked="0"/>
    </xf>
    <xf numFmtId="164" fontId="22" fillId="2" borderId="3" xfId="1" applyNumberFormat="1" applyFont="1" applyFill="1" applyBorder="1" applyAlignment="1" applyProtection="1">
      <alignment horizontal="center" vertical="center" wrapText="1"/>
      <protection locked="0"/>
    </xf>
    <xf numFmtId="164" fontId="3" fillId="2" borderId="3" xfId="1" applyNumberFormat="1" applyFont="1" applyFill="1" applyBorder="1" applyAlignment="1" applyProtection="1">
      <alignment horizontal="center" vertical="center"/>
      <protection locked="0"/>
    </xf>
    <xf numFmtId="0" fontId="21" fillId="2" borderId="3" xfId="3" applyFont="1" applyFill="1" applyBorder="1" applyAlignment="1" applyProtection="1">
      <alignment horizontal="center" vertical="center" wrapText="1"/>
      <protection locked="0"/>
    </xf>
    <xf numFmtId="0" fontId="6" fillId="2" borderId="3" xfId="3" applyFont="1" applyFill="1" applyBorder="1" applyAlignment="1" applyProtection="1">
      <alignment horizontal="center" vertical="center" wrapText="1"/>
      <protection locked="0"/>
    </xf>
    <xf numFmtId="0" fontId="21" fillId="2" borderId="4" xfId="3" applyFont="1" applyFill="1" applyBorder="1" applyAlignment="1" applyProtection="1">
      <alignment horizontal="center" vertical="center" wrapText="1"/>
      <protection locked="0"/>
    </xf>
    <xf numFmtId="0" fontId="6" fillId="2" borderId="5" xfId="3" applyFont="1" applyFill="1" applyBorder="1" applyAlignment="1" applyProtection="1">
      <alignment horizontal="center" vertical="center" wrapText="1"/>
      <protection locked="0"/>
    </xf>
    <xf numFmtId="0" fontId="6" fillId="2" borderId="5" xfId="3" applyFont="1" applyFill="1" applyBorder="1" applyAlignment="1" applyProtection="1">
      <alignment vertical="center" wrapText="1"/>
      <protection locked="0"/>
    </xf>
    <xf numFmtId="0" fontId="6" fillId="0" borderId="0" xfId="3" applyFont="1" applyAlignment="1" applyProtection="1">
      <alignment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</xf>
    <xf numFmtId="164" fontId="3" fillId="0" borderId="3" xfId="1" applyNumberFormat="1" applyFont="1" applyFill="1" applyBorder="1" applyAlignment="1" applyProtection="1">
      <alignment horizontal="center" vertical="center" wrapText="1"/>
    </xf>
    <xf numFmtId="0" fontId="9" fillId="0" borderId="3" xfId="3" applyFont="1" applyBorder="1" applyAlignment="1" applyProtection="1">
      <alignment horizontal="center" vertical="center"/>
    </xf>
    <xf numFmtId="0" fontId="3" fillId="0" borderId="3" xfId="3" applyFont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 wrapText="1"/>
    </xf>
    <xf numFmtId="0" fontId="9" fillId="0" borderId="3" xfId="0" applyFont="1" applyFill="1" applyBorder="1" applyAlignment="1" applyProtection="1">
      <alignment horizontal="center" vertical="center"/>
      <protection locked="0"/>
    </xf>
    <xf numFmtId="0" fontId="4" fillId="0" borderId="0" xfId="3" applyFont="1" applyAlignment="1" applyProtection="1">
      <alignment horizontal="left" vertical="center" indent="10"/>
      <protection locked="0"/>
    </xf>
    <xf numFmtId="0" fontId="3" fillId="0" borderId="0" xfId="0" applyFont="1" applyFill="1" applyAlignment="1" applyProtection="1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left" vertical="center"/>
    </xf>
  </cellXfs>
  <cellStyles count="5">
    <cellStyle name="Normal" xfId="0" builtinId="0"/>
    <cellStyle name="Normal 2" xfId="2" xr:uid="{69A9D921-3DD0-4ABB-8CAD-841F878CFC6D}"/>
    <cellStyle name="Normal 6" xfId="4" xr:uid="{94A5E8D8-96FE-447B-87BE-C85CB2D929AF}"/>
    <cellStyle name="Percent" xfId="1" builtinId="5"/>
    <cellStyle name="標準_評価管理表" xfId="3" xr:uid="{2BE73CD3-4C15-422D-BF48-85CF1C2FB981}"/>
  </cellStyles>
  <dxfs count="127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bottom style="thin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rgb="FF156082"/>
          <bgColor rgb="FF15608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border outline="0">
        <left style="thin">
          <color theme="4"/>
        </lef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6F3A6-F127-4979-B566-4F43F38D48D3}" name="DvtReportOverviewTable" displayName="DvtReportOverviewTable" ref="C45:H46" totalsRowShown="0" headerRowDxfId="126" dataDxfId="124" headerRowBorderDxfId="125" tableBorderDxfId="123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03F2C4F-3EBA-4523-BDE9-7D4DA0E7EBB0}" name="Rev" dataDxfId="122"/>
    <tableColumn id="2" xr3:uid="{F0E68BE0-B8EE-4097-9A2E-13CA686141C4}" name="Description" dataDxfId="121" dataCellStyle="Normal 6"/>
    <tableColumn id="3" xr3:uid="{BCACC5A1-F015-41DE-8C52-13BAAB25C0A1}" name="Engineer" dataDxfId="120" dataCellStyle="Normal 6"/>
    <tableColumn id="4" xr3:uid="{E27FD832-BCEA-4B59-9FDF-DDEF72032247}" name="Date Prepared" dataDxfId="119" dataCellStyle="Normal 6"/>
    <tableColumn id="5" xr3:uid="{ABE0D5E0-BBEE-4728-ACDA-877A994681FA}" name="Checked" dataDxfId="118" dataCellStyle="Normal 6"/>
    <tableColumn id="6" xr3:uid="{BFF7887D-19EC-4FCE-864B-7A8B9A39D5B2}" name="Date Checked" dataDxfId="117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700FD0-7A61-44EB-8A87-1F3510F14584}" name="SummaryTable" displayName="SummaryTable" ref="A12:R13" totalsRowShown="0" headerRowDxfId="95" dataDxfId="94" headerRowBorderDxfId="92" tableBorderDxfId="93" headerRowCellStyle="標準_評価管理表">
  <tableColumns count="18">
    <tableColumn id="1" xr3:uid="{1FDDF5A5-475D-4286-BA70-145DC93941C6}" name="DVT" dataDxfId="60" dataCellStyle="標準_評価管理表">
      <calculatedColumnFormula>_xlfn.XLOOKUP(SummaryTable[[#This Row],[OMS]], TestItemTable[OMS], TestItemTable[DVT], "")</calculatedColumnFormula>
    </tableColumn>
    <tableColumn id="2" xr3:uid="{9F077023-40FD-4B7A-8CB8-8ECBE32061EF}" name="OMS" dataDxfId="59" dataCellStyle="標準_評価管理表">
      <calculatedColumnFormula>_xlfn.XLOOKUP(SummaryTable[[#This Row],[Test Item]], TestItemTable[ITEMS], TestItemTable[OMS], "")</calculatedColumnFormula>
    </tableColumn>
    <tableColumn id="3" xr3:uid="{F935DCB2-8D7D-4F24-84B0-DEE7146B4237}" name="Test Item" dataDxfId="61"/>
    <tableColumn id="4" xr3:uid="{5F9F4DAC-2E58-478D-AF51-25BAEB3F8FB7}" name="Input Voltage_x000a_(VAC)" dataDxfId="91"/>
    <tableColumn id="5" xr3:uid="{DE73E203-6A13-43CA-A693-9C414BEB1C17}" name="Output Load_x000a_(%)" dataDxfId="90"/>
    <tableColumn id="18" xr3:uid="{63EE3414-BD78-4BCC-89F2-3FF447ED30B8}" name="Output Voltage_x000a_(%)" dataDxfId="67" dataCellStyle="標準_評価管理表"/>
    <tableColumn id="6" xr3:uid="{B1E50CA8-85DE-4A94-93D3-47C4EE3F551C}" name="Temperature_x000a_(℃)" dataDxfId="89"/>
    <tableColumn id="15" xr3:uid="{94FB6489-A018-4D3B-AE2C-AEE6AD7527AA}" name="Qualifier" dataDxfId="88" dataCellStyle="標準_評価管理表">
      <calculatedColumnFormula>_xlfn.XLOOKUP(SummaryTable[[#This Row],[Test Item]], TestItemTable[ITEMS], TestItemTable[Qualifier], "")</calculatedColumnFormula>
    </tableColumn>
    <tableColumn id="7" xr3:uid="{2A896A5F-C9B8-4619-9BD5-4F7DBBD6195E}" name="Q.Value" dataDxfId="87" dataCellStyle="Percent"/>
    <tableColumn id="17" xr3:uid="{3459DEEE-E31D-4D0C-B1EC-D7273A05C9B7}" name="Unit" dataDxfId="86" dataCellStyle="Percent">
      <calculatedColumnFormula>_xlfn.XLOOKUP(SummaryTable[[#This Row],[Test Item]], TestItemTable[ITEMS], TestItemTable[Unit], "")</calculatedColumnFormula>
    </tableColumn>
    <tableColumn id="16" xr3:uid="{475B4764-0B55-44FE-8CE8-B55E619A4922}" name="Specification" dataDxfId="85" dataCellStyle="Percent">
      <calculatedColumnFormula array="1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calculatedColumnFormula>
    </tableColumn>
    <tableColumn id="8" xr3:uid="{915E3F49-8BDF-4519-8602-12C98539E2EC}" name="Slot / Chassis" dataDxfId="84"/>
    <tableColumn id="9" xr3:uid="{C8685340-C0AA-478B-AF63-0A3D4A839A14}" name="Model" dataDxfId="83">
      <calculatedColumnFormula>_xlfn.XLOOKUP(SummaryTable[[#This Row],[Slot / Chassis]],FlXProSlotInfoTable[Slot / Chassis],FlXProSlotInfoTable[Model])</calculatedColumnFormula>
    </tableColumn>
    <tableColumn id="10" xr3:uid="{DA92829B-5D94-49C9-976E-3305FA21CC3E}" name="Firmware" dataDxfId="82">
      <calculatedColumnFormula>_xlfn.XLOOKUP(SummaryTable[[#This Row],[Slot / Chassis]],FlXProSlotInfoTable[Slot / Chassis],FlXProSlotInfoTable[Firmware])</calculatedColumnFormula>
    </tableColumn>
    <tableColumn id="11" xr3:uid="{E11F7D7D-79D1-43D2-AE6C-65310AF98D37}" name="Serial Number" dataDxfId="81" dataCellStyle="標準_評価管理表">
      <calculatedColumnFormula>_xlfn.XLOOKUP(SummaryTable[[#This Row],[Slot / Chassis]],FlXProSlotInfoTable[Slot / Chassis],FlXProSlotInfoTable[Serial Number])</calculatedColumnFormula>
    </tableColumn>
    <tableColumn id="12" xr3:uid="{E3FC975D-7EC8-41A7-A9E4-08BB9235AC8B}" name="Value" dataDxfId="80" dataCellStyle="標準_評価管理表"/>
    <tableColumn id="13" xr3:uid="{2EABC78C-AF0A-4356-88E9-56A4D95B4A8F}" name="Results" dataDxfId="79" dataCellStyle="標準_評価管理表">
      <calculatedColumnFormula array="1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calculatedColumnFormula>
    </tableColumn>
    <tableColumn id="14" xr3:uid="{E4827CEA-4B5B-4FC7-B20A-695AE1FA7B13}" name="Comments" dataDxfId="78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476C70-FFA8-4677-ADF2-0A1128480D8C}" name="FlXProSlotInfoTable" displayName="FlXProSlotInfoTable" ref="L2:P9" totalsRowShown="0" headerRowDxfId="97" dataDxfId="96">
  <autoFilter ref="L2:P9" xr:uid="{8ADD6A0B-8151-48E4-8F3C-863007B24EF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64DA1FD-2C1B-449C-BAF8-F3194117EF61}" name="Slot / Chassis" dataDxfId="102"/>
    <tableColumn id="2" xr3:uid="{ED3585C3-7538-49AA-AC27-6801D4707E40}" name="Model" dataDxfId="101"/>
    <tableColumn id="3" xr3:uid="{E3AD2A12-92DE-4E16-9986-4BF2A222BEAA}" name="Firmware" dataDxfId="100"/>
    <tableColumn id="4" xr3:uid="{C945F878-4C1F-456B-AE86-F2FAE16E3B66}" name="Serial Number" dataDxfId="99"/>
    <tableColumn id="5" xr3:uid="{82C20A36-EA7D-4406-A8A3-7853E364EC94}" name="Notes" dataDxfId="98"/>
  </tableColumns>
  <tableStyleInfo name="TableStyleLight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EBAD2-FF0A-4502-836E-08FD339C9E0F}" name="TestItemTable" displayName="TestItemTable" ref="B2:F45" totalsRowShown="0" headerRowDxfId="110" dataDxfId="109">
  <tableColumns count="5">
    <tableColumn id="1" xr3:uid="{876EDF84-6154-4200-9F94-18E5EDF0AB7E}" name="DVT" dataDxfId="115"/>
    <tableColumn id="2" xr3:uid="{C23487AF-4E57-4E26-8398-679D4EED4FA4}" name="OMS" dataDxfId="114"/>
    <tableColumn id="3" xr3:uid="{56A253AD-FC7A-4324-A769-CA414B73C98B}" name="ITEMS" dataDxfId="113"/>
    <tableColumn id="4" xr3:uid="{3CE0D717-702F-40D4-908E-D15FBC27B81B}" name="Qualifier" dataDxfId="112"/>
    <tableColumn id="5" xr3:uid="{0F1D82BC-4420-43AB-8D90-4B483BFCFC8E}" name="Unit" dataDxfId="111"/>
  </tableColumns>
  <tableStyleInfo name="TableStyleLight16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5729A0-28A8-4456-AAD5-30A26EC7C5E9}" name="QualifierTable" displayName="QualifierTable" ref="H2:H7" totalsRowShown="0" headerRowDxfId="107" dataDxfId="106" tableBorderDxfId="116">
  <autoFilter ref="H2:H7" xr:uid="{A45729A0-28A8-4456-AAD5-30A26EC7C5E9}">
    <filterColumn colId="0" hiddenButton="1"/>
  </autoFilter>
  <tableColumns count="1">
    <tableColumn id="1" xr3:uid="{3CCDA977-15A8-446F-90C7-C5E804ECC370}" name="Qualifier" dataDxfId="10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0E9F2C-96DC-461F-9120-16303C17FF79}" name="UnitTable" displayName="UnitTable" ref="J2:J20" totalsRowShown="0" headerRowDxfId="104" dataDxfId="103">
  <autoFilter ref="J2:J20" xr:uid="{D40E9F2C-96DC-461F-9120-16303C17FF79}">
    <filterColumn colId="0" hiddenButton="1"/>
  </autoFilter>
  <tableColumns count="1">
    <tableColumn id="1" xr3:uid="{78A9699A-4545-4E0C-ABF5-272C8CDB4AFE}" name="Unit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1407-D099-44D6-82D0-098CA6D89362}">
  <dimension ref="A7:I51"/>
  <sheetViews>
    <sheetView showGridLines="0" view="pageLayout" topLeftCell="A12" zoomScaleNormal="100" zoomScaleSheetLayoutView="100" workbookViewId="0">
      <selection activeCell="B10" sqref="B10:I12"/>
    </sheetView>
  </sheetViews>
  <sheetFormatPr defaultRowHeight="12.75"/>
  <cols>
    <col min="1" max="1" width="2.7109375" style="1" customWidth="1"/>
    <col min="2" max="2" width="6.42578125" style="1" customWidth="1"/>
    <col min="3" max="3" width="7.7109375" style="1" customWidth="1"/>
    <col min="4" max="4" width="20.2851562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20" t="s">
        <v>49</v>
      </c>
      <c r="C7" s="20"/>
      <c r="D7" s="20"/>
      <c r="E7" s="20"/>
      <c r="F7" s="20"/>
      <c r="G7" s="20"/>
      <c r="H7" s="20"/>
      <c r="I7" s="20"/>
    </row>
    <row r="8" spans="2:9">
      <c r="B8" s="20"/>
      <c r="C8" s="20"/>
      <c r="D8" s="20"/>
      <c r="E8" s="20"/>
      <c r="F8" s="20"/>
      <c r="G8" s="20"/>
      <c r="H8" s="20"/>
      <c r="I8" s="20"/>
    </row>
    <row r="9" spans="2:9" ht="12.75" customHeight="1">
      <c r="B9" s="20"/>
      <c r="C9" s="20"/>
      <c r="D9" s="20"/>
      <c r="E9" s="20"/>
      <c r="F9" s="20"/>
      <c r="G9" s="20"/>
      <c r="H9" s="20"/>
      <c r="I9" s="20"/>
    </row>
    <row r="10" spans="2:9" ht="12.75" customHeight="1">
      <c r="B10" s="21" t="s">
        <v>163</v>
      </c>
      <c r="C10" s="22"/>
      <c r="D10" s="22"/>
      <c r="E10" s="22"/>
      <c r="F10" s="22"/>
      <c r="G10" s="22"/>
      <c r="H10" s="22"/>
      <c r="I10" s="22"/>
    </row>
    <row r="11" spans="2:9" ht="12.75" customHeight="1">
      <c r="B11" s="22"/>
      <c r="C11" s="22"/>
      <c r="D11" s="22"/>
      <c r="E11" s="22"/>
      <c r="F11" s="22"/>
      <c r="G11" s="22"/>
      <c r="H11" s="22"/>
      <c r="I11" s="22"/>
    </row>
    <row r="12" spans="2:9" ht="51" customHeight="1">
      <c r="B12" s="22"/>
      <c r="C12" s="22"/>
      <c r="D12" s="22"/>
      <c r="E12" s="22"/>
      <c r="F12" s="22"/>
      <c r="G12" s="22"/>
      <c r="H12" s="22"/>
      <c r="I12" s="22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2" customFormat="1"/>
    <row r="24" spans="2:9" ht="12.75" customHeight="1">
      <c r="B24" s="23" t="s">
        <v>50</v>
      </c>
      <c r="C24" s="23"/>
      <c r="D24" s="23"/>
      <c r="E24" s="24" t="s">
        <v>161</v>
      </c>
      <c r="F24" s="24"/>
      <c r="G24" s="24"/>
      <c r="H24" s="24"/>
      <c r="I24" s="24"/>
    </row>
    <row r="25" spans="2:9" ht="12.75" customHeight="1">
      <c r="B25" s="23"/>
      <c r="C25" s="23"/>
      <c r="D25" s="23"/>
      <c r="E25" s="24"/>
      <c r="F25" s="24"/>
      <c r="G25" s="24"/>
      <c r="H25" s="24"/>
      <c r="I25" s="24"/>
    </row>
    <row r="26" spans="2:9" ht="12.75" customHeight="1">
      <c r="B26" s="23"/>
      <c r="C26" s="23"/>
      <c r="D26" s="23"/>
      <c r="E26" s="24"/>
      <c r="F26" s="24"/>
      <c r="G26" s="24"/>
      <c r="H26" s="24"/>
      <c r="I26" s="24"/>
    </row>
    <row r="27" spans="2:9">
      <c r="B27" s="25" t="s">
        <v>51</v>
      </c>
      <c r="C27" s="25"/>
      <c r="D27" s="25"/>
      <c r="E27" s="26" t="s">
        <v>160</v>
      </c>
      <c r="F27" s="26"/>
      <c r="G27" s="26"/>
      <c r="H27" s="26"/>
      <c r="I27" s="26"/>
    </row>
    <row r="28" spans="2:9">
      <c r="B28" s="25"/>
      <c r="C28" s="25"/>
      <c r="D28" s="25"/>
      <c r="E28" s="26"/>
      <c r="F28" s="26"/>
      <c r="G28" s="26"/>
      <c r="H28" s="26"/>
      <c r="I28" s="26"/>
    </row>
    <row r="29" spans="2:9">
      <c r="B29" s="25"/>
      <c r="C29" s="25"/>
      <c r="D29" s="25"/>
      <c r="E29" s="26"/>
      <c r="F29" s="26"/>
      <c r="G29" s="26"/>
      <c r="H29" s="26"/>
      <c r="I29" s="26"/>
    </row>
    <row r="30" spans="2:9" ht="12.75" customHeight="1">
      <c r="B30" s="18" t="s">
        <v>52</v>
      </c>
      <c r="C30" s="18"/>
      <c r="D30" s="18"/>
      <c r="F30" s="3"/>
      <c r="G30" s="3"/>
      <c r="H30" s="3"/>
      <c r="I30" s="3"/>
    </row>
    <row r="31" spans="2:9" ht="12.75" customHeight="1">
      <c r="B31" s="18"/>
      <c r="C31" s="18"/>
      <c r="D31" s="18"/>
      <c r="E31" s="19" t="s">
        <v>159</v>
      </c>
      <c r="F31" s="19"/>
      <c r="G31" s="19"/>
      <c r="H31" s="19"/>
      <c r="I31" s="19"/>
    </row>
    <row r="32" spans="2:9" ht="12.75" customHeight="1">
      <c r="B32" s="18"/>
      <c r="C32" s="18"/>
      <c r="D32" s="18"/>
      <c r="E32" s="19"/>
      <c r="F32" s="19"/>
      <c r="G32" s="19"/>
      <c r="H32" s="19"/>
      <c r="I32" s="19"/>
    </row>
    <row r="33" spans="1:9" ht="20.25">
      <c r="B33" s="4"/>
      <c r="C33" s="4"/>
      <c r="D33" s="4"/>
      <c r="E33" s="4"/>
      <c r="F33" s="4"/>
      <c r="G33" s="4"/>
      <c r="H33" s="4"/>
      <c r="I33" s="4"/>
    </row>
    <row r="44" spans="1:9" s="6" customFormat="1">
      <c r="A44" s="5"/>
    </row>
    <row r="45" spans="1:9">
      <c r="A45" s="7"/>
      <c r="C45" s="8" t="s">
        <v>53</v>
      </c>
      <c r="D45" s="9" t="s">
        <v>54</v>
      </c>
      <c r="E45" s="10" t="s">
        <v>55</v>
      </c>
      <c r="F45" s="11" t="s">
        <v>56</v>
      </c>
      <c r="G45" s="11" t="s">
        <v>57</v>
      </c>
      <c r="H45" s="12" t="s">
        <v>58</v>
      </c>
    </row>
    <row r="46" spans="1:9">
      <c r="A46" s="7"/>
      <c r="C46" s="13"/>
      <c r="D46" s="14"/>
      <c r="E46" s="15"/>
      <c r="F46" s="16"/>
      <c r="G46" s="16"/>
      <c r="H46" s="16"/>
    </row>
    <row r="47" spans="1:9">
      <c r="A47" s="7"/>
      <c r="C47" s="17"/>
      <c r="D47" s="17"/>
      <c r="E47" s="17"/>
      <c r="F47" s="17"/>
      <c r="G47" s="17"/>
      <c r="H47" s="17"/>
    </row>
    <row r="48" spans="1:9">
      <c r="C48" s="17"/>
      <c r="D48" s="17"/>
      <c r="E48" s="17"/>
      <c r="F48" s="17"/>
      <c r="G48" s="17"/>
      <c r="H48" s="17"/>
    </row>
    <row r="49" spans="3:8">
      <c r="C49" s="17"/>
      <c r="D49" s="17"/>
      <c r="E49" s="17"/>
      <c r="F49" s="17"/>
      <c r="G49" s="17"/>
      <c r="H49" s="17"/>
    </row>
    <row r="50" spans="3:8">
      <c r="C50" s="17"/>
      <c r="D50" s="17"/>
      <c r="E50" s="17"/>
      <c r="F50" s="17"/>
      <c r="G50" s="17"/>
      <c r="H50" s="17"/>
    </row>
    <row r="51" spans="3:8">
      <c r="C51" s="17"/>
      <c r="D51" s="17"/>
      <c r="E51" s="17"/>
      <c r="F51" s="17"/>
      <c r="G51" s="17"/>
      <c r="H51" s="17"/>
    </row>
  </sheetData>
  <mergeCells count="8">
    <mergeCell ref="B30:D32"/>
    <mergeCell ref="E31:I32"/>
    <mergeCell ref="B7:I9"/>
    <mergeCell ref="B10:I12"/>
    <mergeCell ref="B24:D26"/>
    <mergeCell ref="E24:I26"/>
    <mergeCell ref="B27:D29"/>
    <mergeCell ref="E27:I29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6AB8-4C94-4C24-AB21-692FE3B7F0C2}">
  <dimension ref="A1:T13"/>
  <sheetViews>
    <sheetView tabSelected="1" zoomScale="91" zoomScaleNormal="91" zoomScaleSheetLayoutView="100" workbookViewId="0">
      <selection activeCell="N21" sqref="N21"/>
    </sheetView>
  </sheetViews>
  <sheetFormatPr defaultColWidth="10" defaultRowHeight="12.75" customHeight="1"/>
  <cols>
    <col min="1" max="2" width="15" style="62" customWidth="1"/>
    <col min="3" max="3" width="43.5703125" style="62" customWidth="1"/>
    <col min="4" max="4" width="13.28515625" style="51" bestFit="1" customWidth="1"/>
    <col min="5" max="5" width="21" style="51" customWidth="1"/>
    <col min="6" max="6" width="15.7109375" style="51" customWidth="1"/>
    <col min="7" max="7" width="14.140625" style="51" customWidth="1"/>
    <col min="8" max="8" width="8.85546875" style="51" customWidth="1"/>
    <col min="9" max="9" width="9" style="59" bestFit="1" customWidth="1"/>
    <col min="10" max="10" width="9.140625" style="59" customWidth="1"/>
    <col min="11" max="11" width="15.42578125" style="51" bestFit="1" customWidth="1"/>
    <col min="12" max="12" width="16.7109375" style="51" bestFit="1" customWidth="1"/>
    <col min="13" max="13" width="6.5703125" style="51" bestFit="1" customWidth="1"/>
    <col min="14" max="14" width="13.7109375" style="51" bestFit="1" customWidth="1"/>
    <col min="15" max="15" width="14.28515625" style="51" bestFit="1" customWidth="1"/>
    <col min="16" max="16" width="17.28515625" style="51" customWidth="1"/>
    <col min="17" max="17" width="10.7109375" style="54" customWidth="1"/>
    <col min="18" max="18" width="47.85546875" style="62" customWidth="1"/>
    <col min="19" max="19" width="9.28515625" style="62" bestFit="1" customWidth="1"/>
    <col min="20" max="20" width="28.85546875" style="62" bestFit="1" customWidth="1"/>
    <col min="21" max="16384" width="10" style="62"/>
  </cols>
  <sheetData>
    <row r="1" spans="1:20" ht="17.25" customHeight="1">
      <c r="A1" s="56" t="s">
        <v>0</v>
      </c>
      <c r="B1" s="56"/>
      <c r="C1" s="56"/>
      <c r="D1" s="57"/>
      <c r="E1" s="56" t="s">
        <v>1</v>
      </c>
      <c r="F1" s="56"/>
      <c r="G1" s="58"/>
      <c r="H1" s="58"/>
      <c r="I1" s="58"/>
      <c r="J1" s="58"/>
      <c r="K1" s="59"/>
      <c r="L1" s="58"/>
      <c r="M1" s="60"/>
      <c r="N1" s="60"/>
      <c r="O1" s="60"/>
      <c r="P1" s="58"/>
      <c r="Q1" s="51"/>
      <c r="R1" s="61"/>
      <c r="S1" s="61"/>
    </row>
    <row r="2" spans="1:20" ht="17.25" customHeight="1">
      <c r="A2" s="56"/>
      <c r="B2" s="56"/>
      <c r="C2" s="56"/>
      <c r="D2" s="57"/>
      <c r="E2" s="58"/>
      <c r="F2" s="58"/>
      <c r="G2" s="58"/>
      <c r="H2" s="58"/>
      <c r="I2" s="58"/>
      <c r="J2" s="58"/>
      <c r="K2" s="59"/>
      <c r="L2" s="63" t="s">
        <v>2</v>
      </c>
      <c r="M2" s="63" t="s">
        <v>3</v>
      </c>
      <c r="N2" s="63" t="s">
        <v>4</v>
      </c>
      <c r="O2" s="63" t="s">
        <v>5</v>
      </c>
      <c r="P2" s="50" t="s">
        <v>6</v>
      </c>
      <c r="Q2" s="58"/>
      <c r="R2" s="54"/>
      <c r="S2" s="61"/>
      <c r="T2" s="61"/>
    </row>
    <row r="3" spans="1:20" ht="15.75">
      <c r="A3" s="99" t="s">
        <v>161</v>
      </c>
      <c r="B3" s="64"/>
      <c r="D3" s="62"/>
      <c r="E3" s="99" t="s">
        <v>162</v>
      </c>
      <c r="H3" s="55"/>
      <c r="I3" s="55"/>
      <c r="J3" s="55"/>
      <c r="K3" s="59"/>
      <c r="L3" s="96" t="s">
        <v>7</v>
      </c>
      <c r="M3" s="49" t="s">
        <v>8</v>
      </c>
      <c r="N3" s="49"/>
      <c r="O3" s="49"/>
      <c r="P3" s="52"/>
      <c r="Q3" s="65"/>
      <c r="R3" s="54"/>
      <c r="S3" s="61"/>
      <c r="T3" s="61"/>
    </row>
    <row r="4" spans="1:20" ht="15">
      <c r="D4" s="66"/>
      <c r="E4" s="66"/>
      <c r="F4" s="66"/>
      <c r="G4" s="66"/>
      <c r="H4" s="66"/>
      <c r="I4" s="66"/>
      <c r="J4" s="66"/>
      <c r="K4" s="59"/>
      <c r="L4" s="41" t="s">
        <v>9</v>
      </c>
      <c r="M4" s="50"/>
      <c r="N4" s="50"/>
      <c r="O4" s="50"/>
      <c r="P4" s="53"/>
      <c r="Q4" s="66"/>
      <c r="R4" s="54"/>
      <c r="S4" s="61"/>
      <c r="T4" s="61"/>
    </row>
    <row r="5" spans="1:20" ht="15">
      <c r="D5" s="66"/>
      <c r="E5" s="66"/>
      <c r="F5" s="66"/>
      <c r="G5" s="66"/>
      <c r="H5" s="66"/>
      <c r="I5" s="66"/>
      <c r="J5" s="66"/>
      <c r="K5" s="59"/>
      <c r="L5" s="41" t="s">
        <v>10</v>
      </c>
      <c r="M5" s="50"/>
      <c r="N5" s="50"/>
      <c r="O5" s="50"/>
      <c r="P5" s="53"/>
      <c r="Q5" s="66"/>
      <c r="R5" s="54"/>
      <c r="S5" s="61"/>
      <c r="T5" s="61"/>
    </row>
    <row r="6" spans="1:20" ht="15">
      <c r="D6" s="66"/>
      <c r="E6" s="66"/>
      <c r="F6" s="66"/>
      <c r="G6" s="66"/>
      <c r="H6" s="66"/>
      <c r="I6" s="66"/>
      <c r="J6" s="66"/>
      <c r="K6" s="59"/>
      <c r="L6" s="41" t="s">
        <v>11</v>
      </c>
      <c r="N6" s="50"/>
      <c r="O6" s="50"/>
      <c r="P6" s="53"/>
      <c r="Q6" s="66"/>
      <c r="R6" s="54"/>
      <c r="S6" s="61"/>
      <c r="T6" s="61"/>
    </row>
    <row r="7" spans="1:20" ht="15">
      <c r="B7" s="64"/>
      <c r="D7" s="66"/>
      <c r="E7" s="66"/>
      <c r="F7" s="66"/>
      <c r="G7" s="66"/>
      <c r="H7" s="66"/>
      <c r="I7" s="66"/>
      <c r="J7" s="66"/>
      <c r="K7" s="59"/>
      <c r="L7" s="41" t="s">
        <v>12</v>
      </c>
      <c r="M7" s="50"/>
      <c r="N7" s="50"/>
      <c r="O7" s="50"/>
      <c r="P7" s="53"/>
      <c r="Q7" s="66"/>
      <c r="R7" s="54"/>
      <c r="S7" s="61"/>
      <c r="T7" s="61"/>
    </row>
    <row r="8" spans="1:20" ht="15">
      <c r="B8" s="67"/>
      <c r="D8" s="66"/>
      <c r="E8" s="66"/>
      <c r="F8" s="66"/>
      <c r="G8" s="66"/>
      <c r="H8" s="66"/>
      <c r="I8" s="66"/>
      <c r="J8" s="66"/>
      <c r="K8" s="59"/>
      <c r="L8" s="41" t="s">
        <v>13</v>
      </c>
      <c r="M8" s="50"/>
      <c r="N8" s="50"/>
      <c r="O8" s="50"/>
      <c r="P8" s="54"/>
      <c r="Q8" s="66"/>
      <c r="R8" s="54"/>
      <c r="S8" s="61"/>
      <c r="T8" s="61"/>
    </row>
    <row r="9" spans="1:20" ht="15">
      <c r="B9" s="67"/>
      <c r="D9" s="66"/>
      <c r="E9" s="66"/>
      <c r="F9" s="66"/>
      <c r="G9" s="66"/>
      <c r="H9" s="66"/>
      <c r="I9" s="66"/>
      <c r="J9" s="66"/>
      <c r="K9" s="59"/>
      <c r="L9" s="97" t="s">
        <v>14</v>
      </c>
      <c r="M9" s="50"/>
      <c r="N9" s="50"/>
      <c r="O9" s="50"/>
      <c r="P9" s="53"/>
      <c r="Q9" s="66"/>
      <c r="R9" s="54"/>
      <c r="S9" s="61"/>
      <c r="T9" s="61"/>
    </row>
    <row r="10" spans="1:20" s="73" customFormat="1">
      <c r="A10" s="68"/>
      <c r="B10" s="68"/>
      <c r="C10" s="68"/>
      <c r="D10" s="69"/>
      <c r="E10" s="70"/>
      <c r="F10" s="70"/>
      <c r="G10" s="70"/>
      <c r="H10" s="70"/>
      <c r="I10" s="59"/>
      <c r="J10" s="59"/>
      <c r="K10" s="70"/>
      <c r="L10" s="70"/>
      <c r="M10" s="70"/>
      <c r="N10" s="70"/>
      <c r="O10" s="70"/>
      <c r="P10" s="70"/>
      <c r="Q10" s="71"/>
      <c r="R10" s="72"/>
    </row>
    <row r="11" spans="1:20" s="73" customFormat="1" ht="25.5" customHeight="1">
      <c r="A11" s="74" t="s">
        <v>165</v>
      </c>
      <c r="B11" s="74"/>
      <c r="C11" s="75"/>
      <c r="D11" s="76" t="s">
        <v>15</v>
      </c>
      <c r="E11" s="77"/>
      <c r="F11" s="77"/>
      <c r="G11" s="77"/>
      <c r="H11" s="77"/>
      <c r="I11" s="77"/>
      <c r="J11" s="77"/>
      <c r="K11" s="78"/>
      <c r="L11" s="79" t="s">
        <v>16</v>
      </c>
      <c r="M11" s="79"/>
      <c r="N11" s="79"/>
      <c r="O11" s="79"/>
      <c r="P11" s="80" t="s">
        <v>17</v>
      </c>
      <c r="Q11" s="80"/>
      <c r="R11" s="80"/>
    </row>
    <row r="12" spans="1:20" s="91" customFormat="1" ht="36.75" customHeight="1">
      <c r="A12" s="92" t="s">
        <v>18</v>
      </c>
      <c r="B12" s="81" t="s">
        <v>19</v>
      </c>
      <c r="C12" s="42" t="s">
        <v>20</v>
      </c>
      <c r="D12" s="82" t="s">
        <v>164</v>
      </c>
      <c r="E12" s="82" t="s">
        <v>168</v>
      </c>
      <c r="F12" s="82" t="s">
        <v>169</v>
      </c>
      <c r="G12" s="82" t="s">
        <v>170</v>
      </c>
      <c r="H12" s="83" t="s">
        <v>125</v>
      </c>
      <c r="I12" s="84" t="s">
        <v>139</v>
      </c>
      <c r="J12" s="85" t="s">
        <v>126</v>
      </c>
      <c r="K12" s="85" t="s">
        <v>21</v>
      </c>
      <c r="L12" s="86" t="s">
        <v>2</v>
      </c>
      <c r="M12" s="87" t="s">
        <v>3</v>
      </c>
      <c r="N12" s="87" t="s">
        <v>4</v>
      </c>
      <c r="O12" s="87" t="s">
        <v>5</v>
      </c>
      <c r="P12" s="88" t="s">
        <v>22</v>
      </c>
      <c r="Q12" s="89" t="s">
        <v>23</v>
      </c>
      <c r="R12" s="90" t="s">
        <v>142</v>
      </c>
    </row>
    <row r="13" spans="1:20" s="91" customFormat="1">
      <c r="A13" s="27" t="str">
        <f>_xlfn.XLOOKUP(SummaryTable[[#This Row],[OMS]], TestItemTable[OMS], TestItemTable[DVT], "")</f>
        <v>Do Not Change</v>
      </c>
      <c r="B13" s="27" t="str">
        <f>_xlfn.XLOOKUP(SummaryTable[[#This Row],[Test Item]], TestItemTable[ITEMS], TestItemTable[OMS], "")</f>
        <v>Do Not Change</v>
      </c>
      <c r="C13" s="43" t="s">
        <v>167</v>
      </c>
      <c r="D13" s="44"/>
      <c r="E13" s="44"/>
      <c r="F13" s="98"/>
      <c r="G13" s="44"/>
      <c r="H13" s="28" t="str">
        <f>_xlfn.XLOOKUP(SummaryTable[[#This Row],[Test Item]], TestItemTable[ITEMS], TestItemTable[Qualifier], "")</f>
        <v>None</v>
      </c>
      <c r="I13" s="45"/>
      <c r="J13" s="93" t="str">
        <f>_xlfn.XLOOKUP(SummaryTable[[#This Row],[Test Item]], TestItemTable[ITEMS], TestItemTable[Unit], "")</f>
        <v>None</v>
      </c>
      <c r="K13" s="93" t="str" cm="1">
        <f t="array" ref="K13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f>
        <v>No Spec</v>
      </c>
      <c r="L13" s="46"/>
      <c r="M13" s="94" t="e">
        <f>_xlfn.XLOOKUP(SummaryTable[[#This Row],[Slot / Chassis]],FlXProSlotInfoTable[Slot / Chassis],FlXProSlotInfoTable[Model])</f>
        <v>#N/A</v>
      </c>
      <c r="N13" s="94" t="e">
        <f>_xlfn.XLOOKUP(SummaryTable[[#This Row],[Slot / Chassis]],FlXProSlotInfoTable[Slot / Chassis],FlXProSlotInfoTable[Firmware])</f>
        <v>#N/A</v>
      </c>
      <c r="O13" s="95" t="e">
        <f>_xlfn.XLOOKUP(SummaryTable[[#This Row],[Slot / Chassis]],FlXProSlotInfoTable[Slot / Chassis],FlXProSlotInfoTable[Serial Number])</f>
        <v>#N/A</v>
      </c>
      <c r="P13" s="47"/>
      <c r="Q13" s="95" t="str" cm="1">
        <f t="array" ref="Q13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f>
        <v>N/A</v>
      </c>
      <c r="R13" s="48"/>
    </row>
  </sheetData>
  <sheetProtection formatCells="0" formatColumns="0" formatRows="0" insertRows="0" insertHyperlinks="0" deleteRows="0" sort="0" autoFilter="0"/>
  <mergeCells count="4">
    <mergeCell ref="A11:C11"/>
    <mergeCell ref="D11:K11"/>
    <mergeCell ref="L11:O11"/>
    <mergeCell ref="P11:R11"/>
  </mergeCells>
  <phoneticPr fontId="18" type="noConversion"/>
  <conditionalFormatting sqref="I13 K13 Q13">
    <cfRule type="cellIs" dxfId="7" priority="19" operator="equal">
      <formula>"TBA"</formula>
    </cfRule>
  </conditionalFormatting>
  <conditionalFormatting sqref="K13">
    <cfRule type="containsText" dxfId="6" priority="24" operator="containsText" text="No Spec">
      <formula>NOT(ISERROR(SEARCH("No Spec",K13)))</formula>
    </cfRule>
  </conditionalFormatting>
  <conditionalFormatting sqref="L13:O13">
    <cfRule type="containsErrors" dxfId="5" priority="26">
      <formula>ISERROR(L13)</formula>
    </cfRule>
  </conditionalFormatting>
  <conditionalFormatting sqref="Q13">
    <cfRule type="containsText" dxfId="4" priority="20" operator="containsText" text="Pass">
      <formula>NOT(ISERROR(SEARCH("Pass",Q13)))</formula>
    </cfRule>
    <cfRule type="containsText" dxfId="3" priority="21" operator="containsText" text="Fail">
      <formula>NOT(ISERROR(SEARCH("Fail",Q13)))</formula>
    </cfRule>
  </conditionalFormatting>
  <conditionalFormatting sqref="A13:C13">
    <cfRule type="containsText" dxfId="9" priority="3" operator="containsText" text="Placeholder">
      <formula>NOT(ISERROR(SEARCH("Placeholder",A13)))</formula>
    </cfRule>
    <cfRule type="containsText" dxfId="8" priority="2" operator="containsText" text="Do Not Change">
      <formula>NOT(ISERROR(SEARCH("Do Not Change",A13)))</formula>
    </cfRule>
  </conditionalFormatting>
  <conditionalFormatting sqref="I13">
    <cfRule type="containsBlanks" dxfId="0" priority="27">
      <formula>LEN(TRIM(I13))=0</formula>
    </cfRule>
  </conditionalFormatting>
  <dataValidations disablePrompts="1" count="2">
    <dataValidation type="list" allowBlank="1" showInputMessage="1" showErrorMessage="1" sqref="L13" xr:uid="{CFDD98E9-842B-472F-85F8-237FE69678E8}">
      <formula1>SlotLookup</formula1>
    </dataValidation>
    <dataValidation type="list" allowBlank="1" showInputMessage="1" showErrorMessage="1" sqref="C13" xr:uid="{3087578E-B0DD-487A-872B-8E9035331E47}">
      <formula1>TestLookup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AAB4-113B-4A89-9C81-73618FEE031D}">
  <dimension ref="B2:J45"/>
  <sheetViews>
    <sheetView workbookViewId="0">
      <selection activeCell="F13" sqref="F13"/>
    </sheetView>
  </sheetViews>
  <sheetFormatPr defaultRowHeight="15"/>
  <cols>
    <col min="1" max="1" width="9.140625" style="31"/>
    <col min="2" max="2" width="15" style="31" customWidth="1"/>
    <col min="3" max="3" width="15.28515625" style="31" customWidth="1"/>
    <col min="4" max="4" width="31.140625" style="31" customWidth="1"/>
    <col min="5" max="6" width="8.85546875" style="41" bestFit="1" customWidth="1"/>
    <col min="7" max="7" width="9.140625" style="31"/>
    <col min="8" max="8" width="8.85546875" style="41" bestFit="1" customWidth="1"/>
    <col min="9" max="9" width="10.42578125" style="31" customWidth="1"/>
    <col min="10" max="10" width="10.28515625" style="31" customWidth="1"/>
    <col min="11" max="11" width="18.7109375" style="31" bestFit="1" customWidth="1"/>
    <col min="12" max="12" width="10.85546875" style="31" customWidth="1"/>
    <col min="13" max="13" width="12.28515625" style="31" customWidth="1"/>
    <col min="14" max="16384" width="9.140625" style="31"/>
  </cols>
  <sheetData>
    <row r="2" spans="2:10" ht="15.75" thickBot="1">
      <c r="B2" s="29" t="s">
        <v>18</v>
      </c>
      <c r="C2" s="29" t="s">
        <v>19</v>
      </c>
      <c r="D2" s="29" t="s">
        <v>60</v>
      </c>
      <c r="E2" s="30" t="s">
        <v>125</v>
      </c>
      <c r="F2" s="30" t="s">
        <v>126</v>
      </c>
      <c r="H2" s="32" t="s">
        <v>125</v>
      </c>
      <c r="J2" s="32" t="s">
        <v>126</v>
      </c>
    </row>
    <row r="3" spans="2:10">
      <c r="B3" s="33" t="s">
        <v>61</v>
      </c>
      <c r="C3" s="33" t="s">
        <v>62</v>
      </c>
      <c r="D3" s="33" t="s">
        <v>24</v>
      </c>
      <c r="E3" s="34" t="s">
        <v>136</v>
      </c>
      <c r="F3" s="35" t="s">
        <v>129</v>
      </c>
      <c r="H3" s="36" t="s">
        <v>136</v>
      </c>
      <c r="J3" s="37" t="s">
        <v>127</v>
      </c>
    </row>
    <row r="4" spans="2:10">
      <c r="B4" s="33" t="s">
        <v>63</v>
      </c>
      <c r="C4" s="33" t="s">
        <v>64</v>
      </c>
      <c r="D4" s="33" t="s">
        <v>25</v>
      </c>
      <c r="E4" s="34" t="s">
        <v>136</v>
      </c>
      <c r="F4" s="35" t="s">
        <v>129</v>
      </c>
      <c r="H4" s="38" t="s">
        <v>137</v>
      </c>
      <c r="J4" s="37" t="s">
        <v>128</v>
      </c>
    </row>
    <row r="5" spans="2:10">
      <c r="B5" s="33" t="s">
        <v>65</v>
      </c>
      <c r="C5" s="33" t="s">
        <v>66</v>
      </c>
      <c r="D5" s="33" t="s">
        <v>26</v>
      </c>
      <c r="E5" s="34" t="s">
        <v>136</v>
      </c>
      <c r="F5" s="35" t="s">
        <v>140</v>
      </c>
      <c r="H5" s="39" t="s">
        <v>138</v>
      </c>
      <c r="J5" s="37" t="s">
        <v>130</v>
      </c>
    </row>
    <row r="6" spans="2:10" ht="18">
      <c r="B6" s="33" t="s">
        <v>67</v>
      </c>
      <c r="C6" s="33" t="s">
        <v>68</v>
      </c>
      <c r="D6" s="33" t="s">
        <v>27</v>
      </c>
      <c r="E6" s="34" t="s">
        <v>136</v>
      </c>
      <c r="F6" s="35" t="s">
        <v>132</v>
      </c>
      <c r="H6" s="40" t="s">
        <v>127</v>
      </c>
      <c r="J6" s="37" t="s">
        <v>156</v>
      </c>
    </row>
    <row r="7" spans="2:10" ht="18">
      <c r="B7" s="33" t="s">
        <v>69</v>
      </c>
      <c r="C7" s="33" t="s">
        <v>70</v>
      </c>
      <c r="D7" s="33" t="s">
        <v>71</v>
      </c>
      <c r="E7" s="34" t="s">
        <v>127</v>
      </c>
      <c r="F7" s="35" t="s">
        <v>132</v>
      </c>
      <c r="H7" s="41" t="s">
        <v>141</v>
      </c>
      <c r="J7" s="37" t="s">
        <v>157</v>
      </c>
    </row>
    <row r="8" spans="2:10">
      <c r="B8" s="33" t="s">
        <v>72</v>
      </c>
      <c r="C8" s="33" t="s">
        <v>73</v>
      </c>
      <c r="D8" s="33" t="s">
        <v>28</v>
      </c>
      <c r="E8" s="34" t="s">
        <v>136</v>
      </c>
      <c r="F8" s="37" t="s">
        <v>150</v>
      </c>
      <c r="J8" s="37" t="s">
        <v>145</v>
      </c>
    </row>
    <row r="9" spans="2:10" ht="18">
      <c r="B9" s="33" t="s">
        <v>74</v>
      </c>
      <c r="C9" s="33" t="s">
        <v>75</v>
      </c>
      <c r="D9" s="33" t="s">
        <v>29</v>
      </c>
      <c r="E9" s="34" t="s">
        <v>127</v>
      </c>
      <c r="F9" s="35" t="s">
        <v>127</v>
      </c>
      <c r="J9" s="37" t="s">
        <v>152</v>
      </c>
    </row>
    <row r="10" spans="2:10" ht="18">
      <c r="B10" s="33" t="s">
        <v>76</v>
      </c>
      <c r="C10" s="33" t="s">
        <v>77</v>
      </c>
      <c r="D10" s="33" t="s">
        <v>78</v>
      </c>
      <c r="E10" s="34" t="s">
        <v>127</v>
      </c>
      <c r="F10" s="35" t="s">
        <v>127</v>
      </c>
      <c r="J10" s="37" t="s">
        <v>151</v>
      </c>
    </row>
    <row r="11" spans="2:10" ht="15.75">
      <c r="B11" s="33" t="s">
        <v>79</v>
      </c>
      <c r="C11" s="33" t="s">
        <v>80</v>
      </c>
      <c r="D11" s="33" t="s">
        <v>143</v>
      </c>
      <c r="E11" s="34" t="s">
        <v>136</v>
      </c>
      <c r="F11" s="35" t="s">
        <v>158</v>
      </c>
      <c r="J11" s="37" t="s">
        <v>59</v>
      </c>
    </row>
    <row r="12" spans="2:10">
      <c r="B12" s="33" t="s">
        <v>79</v>
      </c>
      <c r="C12" s="33" t="s">
        <v>80</v>
      </c>
      <c r="D12" s="33" t="s">
        <v>144</v>
      </c>
      <c r="E12" s="34" t="s">
        <v>136</v>
      </c>
      <c r="F12" s="35" t="s">
        <v>146</v>
      </c>
      <c r="J12" s="37" t="s">
        <v>131</v>
      </c>
    </row>
    <row r="13" spans="2:10" ht="18">
      <c r="B13" s="33" t="s">
        <v>81</v>
      </c>
      <c r="C13" s="33" t="s">
        <v>82</v>
      </c>
      <c r="D13" s="33" t="s">
        <v>33</v>
      </c>
      <c r="E13" s="34" t="s">
        <v>136</v>
      </c>
      <c r="F13" s="35" t="s">
        <v>135</v>
      </c>
      <c r="J13" s="37" t="s">
        <v>154</v>
      </c>
    </row>
    <row r="14" spans="2:10" ht="18">
      <c r="B14" s="33" t="s">
        <v>83</v>
      </c>
      <c r="C14" s="33" t="s">
        <v>84</v>
      </c>
      <c r="D14" s="33" t="s">
        <v>34</v>
      </c>
      <c r="E14" s="34" t="s">
        <v>136</v>
      </c>
      <c r="F14" s="35" t="s">
        <v>134</v>
      </c>
      <c r="J14" s="37" t="s">
        <v>155</v>
      </c>
    </row>
    <row r="15" spans="2:10" ht="18">
      <c r="B15" s="33" t="s">
        <v>85</v>
      </c>
      <c r="C15" s="33" t="s">
        <v>86</v>
      </c>
      <c r="D15" s="33" t="s">
        <v>35</v>
      </c>
      <c r="E15" s="34" t="s">
        <v>137</v>
      </c>
      <c r="F15" s="35" t="s">
        <v>134</v>
      </c>
      <c r="J15" s="37" t="s">
        <v>153</v>
      </c>
    </row>
    <row r="16" spans="2:10">
      <c r="B16" s="33" t="s">
        <v>87</v>
      </c>
      <c r="C16" s="33" t="s">
        <v>88</v>
      </c>
      <c r="D16" s="33" t="s">
        <v>37</v>
      </c>
      <c r="E16" s="34" t="s">
        <v>136</v>
      </c>
      <c r="F16" s="35" t="s">
        <v>145</v>
      </c>
      <c r="J16" s="37" t="s">
        <v>147</v>
      </c>
    </row>
    <row r="17" spans="2:10">
      <c r="B17" s="33" t="s">
        <v>89</v>
      </c>
      <c r="C17" s="33" t="s">
        <v>90</v>
      </c>
      <c r="D17" s="33" t="s">
        <v>30</v>
      </c>
      <c r="E17" s="34" t="s">
        <v>136</v>
      </c>
      <c r="F17" s="35" t="s">
        <v>128</v>
      </c>
      <c r="J17" s="37" t="s">
        <v>132</v>
      </c>
    </row>
    <row r="18" spans="2:10">
      <c r="B18" s="33" t="s">
        <v>91</v>
      </c>
      <c r="C18" s="33" t="s">
        <v>92</v>
      </c>
      <c r="D18" s="33" t="s">
        <v>93</v>
      </c>
      <c r="E18" s="34" t="s">
        <v>136</v>
      </c>
      <c r="F18" s="35" t="s">
        <v>128</v>
      </c>
      <c r="J18" s="37" t="s">
        <v>133</v>
      </c>
    </row>
    <row r="19" spans="2:10">
      <c r="B19" s="33" t="s">
        <v>94</v>
      </c>
      <c r="C19" s="33" t="s">
        <v>95</v>
      </c>
      <c r="D19" s="33" t="s">
        <v>31</v>
      </c>
      <c r="E19" s="34" t="s">
        <v>138</v>
      </c>
      <c r="F19" s="35" t="s">
        <v>128</v>
      </c>
      <c r="J19" s="37" t="s">
        <v>135</v>
      </c>
    </row>
    <row r="20" spans="2:10">
      <c r="B20" s="33" t="s">
        <v>96</v>
      </c>
      <c r="C20" s="33" t="s">
        <v>97</v>
      </c>
      <c r="D20" s="33" t="s">
        <v>32</v>
      </c>
      <c r="E20" s="34" t="s">
        <v>138</v>
      </c>
      <c r="F20" s="35" t="s">
        <v>128</v>
      </c>
      <c r="J20" s="37" t="s">
        <v>134</v>
      </c>
    </row>
    <row r="21" spans="2:10">
      <c r="B21" s="33" t="s">
        <v>98</v>
      </c>
      <c r="C21" s="33" t="s">
        <v>99</v>
      </c>
      <c r="D21" s="33" t="s">
        <v>38</v>
      </c>
      <c r="E21" s="34" t="s">
        <v>138</v>
      </c>
      <c r="F21" s="35" t="s">
        <v>147</v>
      </c>
    </row>
    <row r="22" spans="2:10">
      <c r="B22" s="33" t="s">
        <v>100</v>
      </c>
      <c r="C22" s="33" t="s">
        <v>101</v>
      </c>
      <c r="D22" s="33" t="s">
        <v>39</v>
      </c>
      <c r="E22" s="34" t="s">
        <v>138</v>
      </c>
      <c r="F22" s="35" t="s">
        <v>145</v>
      </c>
    </row>
    <row r="23" spans="2:10">
      <c r="B23" s="33" t="s">
        <v>102</v>
      </c>
      <c r="C23" s="33" t="s">
        <v>103</v>
      </c>
      <c r="D23" s="33" t="s">
        <v>44</v>
      </c>
      <c r="E23" s="34" t="s">
        <v>138</v>
      </c>
      <c r="F23" s="35" t="s">
        <v>145</v>
      </c>
    </row>
    <row r="24" spans="2:10">
      <c r="B24" s="33" t="s">
        <v>104</v>
      </c>
      <c r="C24" s="33" t="s">
        <v>105</v>
      </c>
      <c r="D24" s="33" t="s">
        <v>106</v>
      </c>
      <c r="E24" s="34" t="s">
        <v>141</v>
      </c>
      <c r="F24" s="35"/>
    </row>
    <row r="25" spans="2:10">
      <c r="B25" s="33" t="s">
        <v>107</v>
      </c>
      <c r="C25" s="33" t="s">
        <v>108</v>
      </c>
      <c r="D25" s="33" t="s">
        <v>109</v>
      </c>
      <c r="E25" s="34" t="s">
        <v>141</v>
      </c>
      <c r="F25" s="35"/>
    </row>
    <row r="26" spans="2:10">
      <c r="B26" s="33" t="s">
        <v>110</v>
      </c>
      <c r="C26" s="33" t="s">
        <v>111</v>
      </c>
      <c r="D26" s="33" t="s">
        <v>112</v>
      </c>
      <c r="E26" s="34" t="s">
        <v>138</v>
      </c>
      <c r="F26" s="35" t="s">
        <v>128</v>
      </c>
    </row>
    <row r="27" spans="2:10">
      <c r="B27" s="33" t="s">
        <v>113</v>
      </c>
      <c r="C27" s="33" t="s">
        <v>114</v>
      </c>
      <c r="D27" s="33" t="s">
        <v>115</v>
      </c>
      <c r="E27" s="34" t="s">
        <v>141</v>
      </c>
      <c r="F27" s="35"/>
    </row>
    <row r="28" spans="2:10">
      <c r="B28" s="33"/>
      <c r="C28" s="33" t="s">
        <v>116</v>
      </c>
      <c r="D28" s="33" t="s">
        <v>40</v>
      </c>
      <c r="E28" s="34" t="s">
        <v>136</v>
      </c>
      <c r="F28" s="35" t="s">
        <v>134</v>
      </c>
    </row>
    <row r="29" spans="2:10">
      <c r="B29" s="33"/>
      <c r="C29" s="33" t="s">
        <v>116</v>
      </c>
      <c r="D29" s="33" t="s">
        <v>41</v>
      </c>
      <c r="E29" s="34" t="s">
        <v>136</v>
      </c>
      <c r="F29" s="35" t="s">
        <v>134</v>
      </c>
    </row>
    <row r="30" spans="2:10">
      <c r="B30" s="33"/>
      <c r="C30" s="33" t="s">
        <v>117</v>
      </c>
      <c r="D30" s="33" t="s">
        <v>42</v>
      </c>
      <c r="E30" s="34" t="s">
        <v>136</v>
      </c>
      <c r="F30" s="35" t="s">
        <v>134</v>
      </c>
    </row>
    <row r="31" spans="2:10">
      <c r="B31" s="33"/>
      <c r="C31" s="33" t="s">
        <v>117</v>
      </c>
      <c r="D31" s="33" t="s">
        <v>43</v>
      </c>
      <c r="E31" s="34" t="s">
        <v>136</v>
      </c>
      <c r="F31" s="35" t="s">
        <v>134</v>
      </c>
    </row>
    <row r="32" spans="2:10">
      <c r="B32" s="33"/>
      <c r="C32" s="33" t="s">
        <v>117</v>
      </c>
      <c r="D32" s="33" t="s">
        <v>148</v>
      </c>
      <c r="E32" s="34" t="s">
        <v>136</v>
      </c>
      <c r="F32" s="35" t="s">
        <v>134</v>
      </c>
    </row>
    <row r="33" spans="2:6">
      <c r="B33" s="33"/>
      <c r="C33" s="33" t="s">
        <v>117</v>
      </c>
      <c r="D33" s="33" t="s">
        <v>149</v>
      </c>
      <c r="E33" s="34" t="s">
        <v>136</v>
      </c>
      <c r="F33" s="35" t="s">
        <v>134</v>
      </c>
    </row>
    <row r="34" spans="2:6">
      <c r="B34" s="33"/>
      <c r="C34" s="33" t="s">
        <v>118</v>
      </c>
      <c r="D34" s="33" t="s">
        <v>119</v>
      </c>
      <c r="E34" s="34" t="s">
        <v>127</v>
      </c>
      <c r="F34" s="35"/>
    </row>
    <row r="35" spans="2:6">
      <c r="B35" s="33"/>
      <c r="C35" s="33"/>
      <c r="D35" s="33" t="s">
        <v>45</v>
      </c>
      <c r="E35" s="34" t="s">
        <v>138</v>
      </c>
      <c r="F35" s="35" t="s">
        <v>128</v>
      </c>
    </row>
    <row r="36" spans="2:6">
      <c r="B36" s="33"/>
      <c r="C36" s="33"/>
      <c r="D36" s="33" t="s">
        <v>46</v>
      </c>
      <c r="E36" s="34" t="s">
        <v>138</v>
      </c>
      <c r="F36" s="35" t="s">
        <v>128</v>
      </c>
    </row>
    <row r="37" spans="2:6">
      <c r="B37" s="33"/>
      <c r="C37" s="33"/>
      <c r="D37" s="33" t="s">
        <v>120</v>
      </c>
      <c r="E37" s="34" t="s">
        <v>136</v>
      </c>
      <c r="F37" s="35" t="s">
        <v>134</v>
      </c>
    </row>
    <row r="38" spans="2:6">
      <c r="B38" s="33"/>
      <c r="C38" s="33"/>
      <c r="D38" s="33" t="s">
        <v>121</v>
      </c>
      <c r="E38" s="34" t="s">
        <v>138</v>
      </c>
      <c r="F38" s="35" t="s">
        <v>128</v>
      </c>
    </row>
    <row r="39" spans="2:6">
      <c r="B39" s="33"/>
      <c r="C39" s="33"/>
      <c r="D39" s="33" t="s">
        <v>122</v>
      </c>
      <c r="E39" s="34" t="s">
        <v>127</v>
      </c>
      <c r="F39" s="35"/>
    </row>
    <row r="40" spans="2:6">
      <c r="B40" s="33"/>
      <c r="C40" s="33"/>
      <c r="D40" s="33" t="s">
        <v>36</v>
      </c>
      <c r="E40" s="34" t="s">
        <v>136</v>
      </c>
      <c r="F40" s="35" t="s">
        <v>134</v>
      </c>
    </row>
    <row r="41" spans="2:6">
      <c r="B41" s="33"/>
      <c r="C41" s="33"/>
      <c r="D41" s="33" t="s">
        <v>48</v>
      </c>
      <c r="E41" s="34" t="s">
        <v>138</v>
      </c>
      <c r="F41" s="35" t="s">
        <v>128</v>
      </c>
    </row>
    <row r="42" spans="2:6">
      <c r="B42" s="33"/>
      <c r="C42" s="33"/>
      <c r="D42" s="33" t="s">
        <v>47</v>
      </c>
      <c r="E42" s="34" t="s">
        <v>138</v>
      </c>
      <c r="F42" s="35" t="s">
        <v>128</v>
      </c>
    </row>
    <row r="43" spans="2:6">
      <c r="B43" s="33"/>
      <c r="C43" s="33"/>
      <c r="D43" s="33" t="s">
        <v>123</v>
      </c>
      <c r="E43" s="34" t="s">
        <v>138</v>
      </c>
      <c r="F43" s="35" t="s">
        <v>128</v>
      </c>
    </row>
    <row r="44" spans="2:6">
      <c r="B44" s="33"/>
      <c r="C44" s="33"/>
      <c r="D44" s="33" t="s">
        <v>124</v>
      </c>
      <c r="E44" s="34" t="s">
        <v>127</v>
      </c>
      <c r="F44" s="35"/>
    </row>
    <row r="45" spans="2:6">
      <c r="B45" s="100" t="s">
        <v>166</v>
      </c>
      <c r="C45" s="100" t="s">
        <v>166</v>
      </c>
      <c r="D45" s="100" t="s">
        <v>167</v>
      </c>
      <c r="E45" s="101" t="s">
        <v>127</v>
      </c>
      <c r="F45" s="102" t="s">
        <v>127</v>
      </c>
    </row>
  </sheetData>
  <sheetProtection sheet="1" objects="1" scenarios="1" selectLockedCells="1" selectUnlockedCells="1"/>
  <conditionalFormatting sqref="E3:E45">
    <cfRule type="cellIs" dxfId="58" priority="1" operator="equal">
      <formula>"None"</formula>
    </cfRule>
    <cfRule type="cellIs" dxfId="57" priority="2" operator="equal">
      <formula>"Pending"</formula>
    </cfRule>
  </conditionalFormatting>
  <dataValidations count="2">
    <dataValidation type="list" allowBlank="1" showInputMessage="1" showErrorMessage="1" sqref="E3:E45" xr:uid="{28DA775B-7431-4BA5-B9AA-F300AA62D5BB}">
      <formula1>$H$3:$H$7</formula1>
    </dataValidation>
    <dataValidation type="list" allowBlank="1" showInputMessage="1" showErrorMessage="1" sqref="F3:F45" xr:uid="{09538879-94FA-4586-9262-57F2945DBCFB}">
      <formula1>$J$3:$J$20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f03f0ec9-1341-49fa-8d06-6c7c056fbe26" xsi:nil="true"/>
    <lcf76f155ced4ddcb4097134ff3c332f xmlns="f03f0ec9-1341-49fa-8d06-6c7c056fbe26">
      <Terms xmlns="http://schemas.microsoft.com/office/infopath/2007/PartnerControls"/>
    </lcf76f155ced4ddcb4097134ff3c332f>
    <TaxCatchAll xmlns="040ec9e3-55b8-49f1-ae7d-5edfbfe4f66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87CF1221150845BACE7D15E3E377DE" ma:contentTypeVersion="16" ma:contentTypeDescription="Create a new document." ma:contentTypeScope="" ma:versionID="8f6d0f95c8b5e1f263ce8c18e123d504">
  <xsd:schema xmlns:xsd="http://www.w3.org/2001/XMLSchema" xmlns:xs="http://www.w3.org/2001/XMLSchema" xmlns:p="http://schemas.microsoft.com/office/2006/metadata/properties" xmlns:ns2="f03f0ec9-1341-49fa-8d06-6c7c056fbe26" xmlns:ns3="040ec9e3-55b8-49f1-ae7d-5edfbfe4f661" targetNamespace="http://schemas.microsoft.com/office/2006/metadata/properties" ma:root="true" ma:fieldsID="e7717be95d30bb35d0950f0d1e6c8671" ns2:_="" ns3:_="">
    <xsd:import namespace="f03f0ec9-1341-49fa-8d06-6c7c056fbe26"/>
    <xsd:import namespace="040ec9e3-55b8-49f1-ae7d-5edfbfe4f6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Comme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f0ec9-1341-49fa-8d06-6c7c056fbe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019508c-797f-41eb-bc12-3213928759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s" ma:index="16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0ec9e3-55b8-49f1-ae7d-5edfbfe4f66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f3e342f-a123-4d03-af33-31e50ab16af7}" ma:internalName="TaxCatchAll" ma:showField="CatchAllData" ma:web="040ec9e3-55b8-49f1-ae7d-5edfbfe4f6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1D7168-0952-483D-BA1D-D0726DC2A6BE}">
  <ds:schemaRefs>
    <ds:schemaRef ds:uri="http://schemas.microsoft.com/office/2006/metadata/properties"/>
    <ds:schemaRef ds:uri="http://schemas.microsoft.com/office/infopath/2007/PartnerControls"/>
    <ds:schemaRef ds:uri="f03f0ec9-1341-49fa-8d06-6c7c056fbe26"/>
    <ds:schemaRef ds:uri="040ec9e3-55b8-49f1-ae7d-5edfbfe4f661"/>
  </ds:schemaRefs>
</ds:datastoreItem>
</file>

<file path=customXml/itemProps2.xml><?xml version="1.0" encoding="utf-8"?>
<ds:datastoreItem xmlns:ds="http://schemas.openxmlformats.org/officeDocument/2006/customXml" ds:itemID="{1050FF9C-689E-4DC1-B9F6-58A0AE8AB6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3f0ec9-1341-49fa-8d06-6c7c056fbe26"/>
    <ds:schemaRef ds:uri="040ec9e3-55b8-49f1-ae7d-5edfbfe4f6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850041-EA87-4A21-8F0B-4D1C9F3892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Cover Page</vt:lpstr>
      <vt:lpstr>Summary</vt:lpstr>
      <vt:lpstr>Lookup</vt:lpstr>
      <vt:lpstr>'Cover Page'!PowerSupplyFirmwareVersion</vt:lpstr>
      <vt:lpstr>'Cover Page'!PowerSupplyModel</vt:lpstr>
      <vt:lpstr>'Cover Page'!PowerSupplySerialNumber</vt:lpstr>
      <vt:lpstr>'Cover Page'!Print_Area</vt:lpstr>
      <vt:lpstr>SlotLookup</vt:lpstr>
      <vt:lpstr>TestLookup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Wafiy Bin Abdul Rahim</dc:creator>
  <cp:lastModifiedBy>Abdul Wafiy Bin Abdul Rahim</cp:lastModifiedBy>
  <dcterms:created xsi:type="dcterms:W3CDTF">2026-10-22T03:25:24Z</dcterms:created>
  <dcterms:modified xsi:type="dcterms:W3CDTF">2026-10-28T03:07:47Z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2026-10-22T05:04:32Z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a94543bb-cb24-4ec5-b29f-eff667fbf99b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  <property fmtid="{D5CDD505-2E9C-101B-9397-08002B2CF9AE}" pid="10" name="MediaServiceImageTags">
    <vt:lpwstr/>
  </property>
  <property fmtid="{D5CDD505-2E9C-101B-9397-08002B2CF9AE}" pid="11" name="ContentTypeId">
    <vt:lpwstr>0x0101008E87CF1221150845BACE7D15E3E377DE</vt:lpwstr>
  </property>
</Properties>
</file>