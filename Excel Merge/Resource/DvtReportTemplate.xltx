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bdul.wafiy\OneDrive - XP Power\Auto-DVT\"/>
    </mc:Choice>
  </mc:AlternateContent>
  <xr:revisionPtr revIDLastSave="0" documentId="13_ncr:1_{7C660D3A-F94E-43A0-AC8F-F3B19FF4555B}" xr6:coauthVersionLast="47" xr6:coauthVersionMax="47" xr10:uidLastSave="{00000000-0000-0000-0000-000000000000}"/>
  <bookViews>
    <workbookView xWindow="-120" yWindow="-120" windowWidth="29040" windowHeight="15720" xr2:uid="{153DA0B8-9E7B-40BD-A5AD-740824EDFEF6}"/>
  </bookViews>
  <sheets>
    <sheet name="Cover Page" sheetId="2" r:id="rId1"/>
    <sheet name="Summary" sheetId="1" r:id="rId2"/>
    <sheet name="Lookup" sheetId="3" r:id="rId3"/>
  </sheets>
  <definedNames>
    <definedName name="_xlnm._FilterDatabase" localSheetId="1" hidden="1">Summary!$A$12:$C$13</definedName>
    <definedName name="PowerSupplyFirmwareVersion" localSheetId="0">'Cover Page'!$E$31</definedName>
    <definedName name="PowerSupplyModel" localSheetId="0">'Cover Page'!$E$24</definedName>
    <definedName name="PowerSupplySerialNumber" localSheetId="0">'Cover Page'!$E$27</definedName>
    <definedName name="_xlnm.Print_Area" localSheetId="0">'Cover Page'!$A$1:$I$48</definedName>
    <definedName name="SlotLookup" localSheetId="1">SlotLookupTable[Slot / Chassis]</definedName>
    <definedName name="SlotLooku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Q13" i="1" l="1" a="1"/>
  <c r="Q13" i="1" s="1"/>
  <c r="B13" i="1"/>
  <c r="A13" i="1" s="1"/>
  <c r="H13" i="1"/>
  <c r="J13" i="1"/>
  <c r="M13" i="1"/>
  <c r="N13" i="1"/>
  <c r="O13" i="1"/>
  <c r="K13" i="1" l="1" a="1"/>
  <c r="K1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<sst xmlns="http://schemas.openxmlformats.org/spreadsheetml/2006/main" count="260" uniqueCount="169">
  <si>
    <t>TESTED MODELS:</t>
  </si>
  <si>
    <t>TESTED TEMPERATURE:</t>
  </si>
  <si>
    <t>Slot / Chassis</t>
  </si>
  <si>
    <t>Model</t>
  </si>
  <si>
    <t>Firmware</t>
  </si>
  <si>
    <t>Serial Number</t>
  </si>
  <si>
    <t>Notes</t>
  </si>
  <si>
    <t>Chassis / Standby</t>
  </si>
  <si>
    <t>-</t>
  </si>
  <si>
    <t>Slot 1</t>
  </si>
  <si>
    <t>Slot 2</t>
  </si>
  <si>
    <t>Slot 3</t>
  </si>
  <si>
    <t>Slot 4</t>
  </si>
  <si>
    <t>Slot 5</t>
  </si>
  <si>
    <t>Slot 6</t>
  </si>
  <si>
    <t>Report Ite</t>
  </si>
  <si>
    <t>Test Condition</t>
  </si>
  <si>
    <t>Module Information</t>
  </si>
  <si>
    <t>Test Outcome</t>
  </si>
  <si>
    <t>DVT</t>
  </si>
  <si>
    <t>OMS</t>
  </si>
  <si>
    <t>Test Item</t>
  </si>
  <si>
    <t>Input Voltage
(VAC)</t>
  </si>
  <si>
    <t>Specification</t>
  </si>
  <si>
    <t>Value</t>
  </si>
  <si>
    <t>Results</t>
  </si>
  <si>
    <t>Input Voltage Turn On</t>
  </si>
  <si>
    <t>Input Voltage Turn Off</t>
  </si>
  <si>
    <t>Input Current</t>
  </si>
  <si>
    <t>No Load Input Power</t>
  </si>
  <si>
    <t>Inrush Current</t>
  </si>
  <si>
    <t>Power Factor</t>
  </si>
  <si>
    <t>Efficiency</t>
  </si>
  <si>
    <t>Line Regulation</t>
  </si>
  <si>
    <t>Load Regulation</t>
  </si>
  <si>
    <t>Start Up Time</t>
  </si>
  <si>
    <t>Start Up Rise Time</t>
  </si>
  <si>
    <t>Hold-Up Time</t>
  </si>
  <si>
    <t>Turn Off Fall Time</t>
  </si>
  <si>
    <t>Turn On Overshoot</t>
  </si>
  <si>
    <t>Over Current Protection</t>
  </si>
  <si>
    <t>Over Voltage Protection</t>
  </si>
  <si>
    <t>AC OK (Turn On)</t>
  </si>
  <si>
    <t>AC OK (Turn Off)</t>
  </si>
  <si>
    <t>DC OK (Turn On)</t>
  </si>
  <si>
    <t>DC OK (Turn Off)</t>
  </si>
  <si>
    <t>Transient Response</t>
  </si>
  <si>
    <t>Current Limit Setting</t>
  </si>
  <si>
    <t>Current Output Reading</t>
  </si>
  <si>
    <t>Voltage Output Setting</t>
  </si>
  <si>
    <t>Voltage Output Reading</t>
  </si>
  <si>
    <t>Auto-DVT - Test Result</t>
  </si>
  <si>
    <t>Model Name:</t>
  </si>
  <si>
    <t>S/N:</t>
  </si>
  <si>
    <t>F/W:</t>
  </si>
  <si>
    <t>Rev</t>
  </si>
  <si>
    <t>Description</t>
  </si>
  <si>
    <t>Engineer</t>
  </si>
  <si>
    <t>Date Prepared</t>
  </si>
  <si>
    <t>Checked</t>
  </si>
  <si>
    <t>Date Checked</t>
  </si>
  <si>
    <t>A</t>
  </si>
  <si>
    <t>ITEMS</t>
  </si>
  <si>
    <t>XP-12-02</t>
  </si>
  <si>
    <t>OMS0165</t>
  </si>
  <si>
    <t>XP-12-03</t>
  </si>
  <si>
    <t>OMS0168</t>
  </si>
  <si>
    <t>XP-12-04</t>
  </si>
  <si>
    <t>OMS0166</t>
  </si>
  <si>
    <t>XP-12-05</t>
  </si>
  <si>
    <t>OMS0167</t>
  </si>
  <si>
    <t>XP-12-06</t>
  </si>
  <si>
    <t>OMS0169</t>
  </si>
  <si>
    <t>Inhibit Input Power</t>
  </si>
  <si>
    <t>XP-12-08</t>
  </si>
  <si>
    <t>OMS0171</t>
  </si>
  <si>
    <t>XP-12-09</t>
  </si>
  <si>
    <t>OMS0170</t>
  </si>
  <si>
    <t>XP-12-10</t>
  </si>
  <si>
    <t>OMS0173</t>
  </si>
  <si>
    <t>Harmonics Current</t>
  </si>
  <si>
    <t>XP-12-12</t>
  </si>
  <si>
    <t>OMS0174</t>
  </si>
  <si>
    <t>XP-12-13</t>
  </si>
  <si>
    <t>OMS0177</t>
  </si>
  <si>
    <t>XP-12-14</t>
  </si>
  <si>
    <t>OMS0175</t>
  </si>
  <si>
    <t>XP-12-15</t>
  </si>
  <si>
    <t>OMS0179</t>
  </si>
  <si>
    <t>XP-12-16</t>
  </si>
  <si>
    <t>OMS0176</t>
  </si>
  <si>
    <t>XP-12-17</t>
  </si>
  <si>
    <t>OMS0181</t>
  </si>
  <si>
    <t>XP-12-18</t>
  </si>
  <si>
    <t>OMS0180</t>
  </si>
  <si>
    <t>Output Voltage Setting Accuracy</t>
  </si>
  <si>
    <t>XP-12-19</t>
  </si>
  <si>
    <t>OMS0183</t>
  </si>
  <si>
    <t>XP-12-20</t>
  </si>
  <si>
    <t>OMS0182</t>
  </si>
  <si>
    <t>XP-12-22</t>
  </si>
  <si>
    <t>OMS0185</t>
  </si>
  <si>
    <t>XP-12-23</t>
  </si>
  <si>
    <t>OMS0186</t>
  </si>
  <si>
    <t>XP-12-27</t>
  </si>
  <si>
    <t>OMS0190</t>
  </si>
  <si>
    <t>XP-12-36</t>
  </si>
  <si>
    <t>OMS0199</t>
  </si>
  <si>
    <t>Temperature Coefficient</t>
  </si>
  <si>
    <t>XP-12-37</t>
  </si>
  <si>
    <t>OMS0201</t>
  </si>
  <si>
    <t>Thermal Protection</t>
  </si>
  <si>
    <t>XP-12-45</t>
  </si>
  <si>
    <t>OMS0207</t>
  </si>
  <si>
    <t>Initial Set Accuracy</t>
  </si>
  <si>
    <t>XP-12-51</t>
  </si>
  <si>
    <t>OMS0214</t>
  </si>
  <si>
    <t>Output Voltage Stability</t>
  </si>
  <si>
    <t>OMS0191</t>
  </si>
  <si>
    <t>OMS0192</t>
  </si>
  <si>
    <t>OMS1608</t>
  </si>
  <si>
    <t>Short Circuit Protection</t>
  </si>
  <si>
    <t>Early Warning Time</t>
  </si>
  <si>
    <t>IPROG Accuracy</t>
  </si>
  <si>
    <t>IPROG Emulation</t>
  </si>
  <si>
    <t>VPROG Accuracy</t>
  </si>
  <si>
    <t>VPROG Emulation</t>
  </si>
  <si>
    <t>Qualifier</t>
  </si>
  <si>
    <t>Unit</t>
  </si>
  <si>
    <t>None</t>
  </si>
  <si>
    <t>%</t>
  </si>
  <si>
    <t>VAC</t>
  </si>
  <si>
    <t>V</t>
  </si>
  <si>
    <t>mA</t>
  </si>
  <si>
    <t>W</t>
  </si>
  <si>
    <t>kW</t>
  </si>
  <si>
    <t>ms</t>
  </si>
  <si>
    <t>s</t>
  </si>
  <si>
    <t>≤</t>
  </si>
  <si>
    <t>≥</t>
  </si>
  <si>
    <t>±</t>
  </si>
  <si>
    <t>Q.Value</t>
  </si>
  <si>
    <t>Temp 
(℃)</t>
  </si>
  <si>
    <t>IAC</t>
  </si>
  <si>
    <t>Pending</t>
  </si>
  <si>
    <t>Comments</t>
  </si>
  <si>
    <t>Load 
(%)</t>
  </si>
  <si>
    <t>Ripple</t>
  </si>
  <si>
    <t>Noise</t>
  </si>
  <si>
    <t>% (V)</t>
  </si>
  <si>
    <t>% (Vrms)</t>
  </si>
  <si>
    <t>% (A)</t>
  </si>
  <si>
    <t>Global DC OK (Turn On)</t>
  </si>
  <si>
    <t>Global DC OK (Turn Off)</t>
  </si>
  <si>
    <t>Ipk+</t>
  </si>
  <si>
    <r>
      <t>% (V</t>
    </r>
    <r>
      <rPr>
        <vertAlign val="subscript"/>
        <sz val="11"/>
        <color theme="1"/>
        <rFont val="Aptos Narrow"/>
        <family val="2"/>
        <scheme val="minor"/>
      </rPr>
      <t>pp</t>
    </r>
    <r>
      <rPr>
        <sz val="11"/>
        <color theme="1"/>
        <rFont val="Aptos Narrow"/>
        <family val="2"/>
        <scheme val="minor"/>
      </rPr>
      <t>)</t>
    </r>
  </si>
  <si>
    <r>
      <t>% (V</t>
    </r>
    <r>
      <rPr>
        <vertAlign val="subscript"/>
        <sz val="11"/>
        <color theme="1"/>
        <rFont val="Aptos Narrow"/>
        <family val="2"/>
        <scheme val="minor"/>
      </rPr>
      <t>rms</t>
    </r>
    <r>
      <rPr>
        <sz val="11"/>
        <color theme="1"/>
        <rFont val="Aptos Narrow"/>
        <family val="2"/>
        <scheme val="minor"/>
      </rPr>
      <t>)</t>
    </r>
  </si>
  <si>
    <r>
      <t>I</t>
    </r>
    <r>
      <rPr>
        <vertAlign val="subscript"/>
        <sz val="11"/>
        <color theme="1"/>
        <rFont val="Aptos Narrow"/>
        <family val="2"/>
        <scheme val="minor"/>
      </rPr>
      <t>pk+</t>
    </r>
  </si>
  <si>
    <r>
      <t>I</t>
    </r>
    <r>
      <rPr>
        <vertAlign val="subscript"/>
        <sz val="11"/>
        <color theme="1"/>
        <rFont val="Aptos Narrow"/>
        <family val="2"/>
        <scheme val="minor"/>
      </rPr>
      <t>AC</t>
    </r>
  </si>
  <si>
    <r>
      <t>I</t>
    </r>
    <r>
      <rPr>
        <vertAlign val="subscript"/>
        <sz val="11"/>
        <color theme="1"/>
        <rFont val="Aptos Narrow"/>
        <family val="2"/>
        <scheme val="minor"/>
      </rPr>
      <t>DC</t>
    </r>
  </si>
  <si>
    <r>
      <t>V</t>
    </r>
    <r>
      <rPr>
        <vertAlign val="subscript"/>
        <sz val="11"/>
        <color theme="1"/>
        <rFont val="Aptos Narrow"/>
        <family val="2"/>
        <scheme val="minor"/>
      </rPr>
      <t>AC</t>
    </r>
  </si>
  <si>
    <r>
      <t>V</t>
    </r>
    <r>
      <rPr>
        <vertAlign val="subscript"/>
        <sz val="11"/>
        <color theme="1"/>
        <rFont val="Aptos Narrow"/>
        <family val="2"/>
        <scheme val="minor"/>
      </rPr>
      <t>DC</t>
    </r>
  </si>
  <si>
    <r>
      <t>% (V</t>
    </r>
    <r>
      <rPr>
        <vertAlign val="subscript"/>
        <sz val="10"/>
        <rFont val="Arial"/>
        <family val="2"/>
      </rPr>
      <t>pp</t>
    </r>
    <r>
      <rPr>
        <sz val="10"/>
        <rFont val="Arial"/>
        <family val="2"/>
      </rPr>
      <t>)</t>
    </r>
  </si>
  <si>
    <t>Voltage
(%)</t>
  </si>
  <si>
    <t>{{DUT_Firmware_Number}}</t>
  </si>
  <si>
    <t>{{DUT_Serial_Number}}</t>
  </si>
  <si>
    <t>{{DUT_Model_Name}}</t>
  </si>
  <si>
    <t>{{Temperature_Under_Test}}</t>
  </si>
  <si>
    <t>AC:DC Product
(Cross/Ambient)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</si>
</sst>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3409]dd\-mmm\-yy;@"/>
  </numFmts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1"/>
      <name val="ＭＳ Ｐゴシック"/>
      <family val="3"/>
      <charset val="128"/>
    </font>
    <font>
      <b/>
      <sz val="10"/>
      <name val="Arial"/>
      <family val="2"/>
    </font>
    <font>
      <b/>
      <i/>
      <sz val="11"/>
      <color rgb="FFFF0000"/>
      <name val="Aptos Narrow"/>
      <family val="2"/>
      <scheme val="minor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b/>
      <sz val="24"/>
      <name val="Arial"/>
      <family val="2"/>
    </font>
    <font>
      <sz val="20"/>
      <name val="Arial"/>
      <family val="2"/>
    </font>
    <font>
      <b/>
      <sz val="22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color theme="0"/>
      <name val="Arial"/>
      <family val="2"/>
    </font>
    <font>
      <sz val="8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vertAlign val="subscript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156082"/>
        <bgColor rgb="FF156082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0" fontId="3" fillId="0" borderId="0"/>
  </cellStyleXfs>
  <cellXfs count="87">
    <xf numFmtId="0" fontId="0" fillId="0" borderId="0" xfId="0"/>
    <xf numFmtId="0" fontId="4" fillId="0" borderId="0" xfId="2" applyFont="1" applyAlignment="1">
      <alignment vertical="center"/>
    </xf>
    <xf numFmtId="0" fontId="4" fillId="0" borderId="0" xfId="2" applyFont="1" applyAlignment="1">
      <alignment horizontal="left"/>
    </xf>
    <xf numFmtId="0" fontId="4" fillId="0" borderId="0" xfId="2" applyFont="1" applyAlignment="1">
      <alignment horizontal="center" vertical="center"/>
    </xf>
    <xf numFmtId="164" fontId="3" fillId="0" borderId="0" xfId="1" applyNumberFormat="1" applyFont="1" applyFill="1" applyBorder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3" fillId="0" borderId="0" xfId="3" applyFont="1" applyAlignment="1">
      <alignment horizontal="center" vertical="center"/>
    </xf>
    <xf numFmtId="0" fontId="3" fillId="0" borderId="0" xfId="3" applyFont="1" applyAlignment="1">
      <alignment horizontal="left" vertical="center"/>
    </xf>
    <xf numFmtId="0" fontId="3" fillId="0" borderId="0" xfId="3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6" fillId="0" borderId="0" xfId="3" applyFont="1" applyAlignment="1">
      <alignment vertical="center"/>
    </xf>
    <xf numFmtId="0" fontId="4" fillId="0" borderId="0" xfId="3" applyFont="1" applyAlignment="1">
      <alignment vertical="center"/>
    </xf>
    <xf numFmtId="0" fontId="4" fillId="0" borderId="0" xfId="3" applyFont="1" applyAlignment="1">
      <alignment horizontal="left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4" fillId="0" borderId="0" xfId="3" applyFont="1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7" fillId="0" borderId="0" xfId="0" applyFont="1" applyAlignment="1">
      <alignment horizontal="left"/>
    </xf>
    <xf numFmtId="0" fontId="0" fillId="0" borderId="0" xfId="0" applyAlignment="1">
      <alignment horizontal="center" wrapText="1"/>
    </xf>
    <xf numFmtId="0" fontId="3" fillId="0" borderId="0" xfId="2" applyAlignment="1">
      <alignment vertical="center"/>
    </xf>
    <xf numFmtId="0" fontId="6" fillId="0" borderId="0" xfId="2" applyFont="1" applyAlignment="1">
      <alignment horizontal="left"/>
    </xf>
    <xf numFmtId="0" fontId="6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Alignment="1">
      <alignment horizontal="center"/>
    </xf>
    <xf numFmtId="0" fontId="6" fillId="0" borderId="3" xfId="3" applyFont="1" applyBorder="1" applyAlignment="1">
      <alignment horizontal="center" vertical="center" wrapText="1"/>
    </xf>
    <xf numFmtId="164" fontId="3" fillId="0" borderId="3" xfId="1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3" applyFont="1" applyBorder="1" applyAlignment="1">
      <alignment horizontal="center" vertical="center" wrapText="1"/>
    </xf>
    <xf numFmtId="0" fontId="6" fillId="0" borderId="5" xfId="3" applyFont="1" applyBorder="1" applyAlignment="1">
      <alignment horizontal="center" vertical="center" wrapText="1"/>
    </xf>
    <xf numFmtId="0" fontId="3" fillId="0" borderId="3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164" fontId="3" fillId="0" borderId="3" xfId="1" applyNumberFormat="1" applyFont="1" applyFill="1" applyBorder="1" applyAlignment="1">
      <alignment horizontal="center" vertical="center" wrapText="1"/>
    </xf>
    <xf numFmtId="0" fontId="9" fillId="0" borderId="3" xfId="3" applyFont="1" applyBorder="1" applyAlignment="1">
      <alignment horizontal="center" vertical="center"/>
    </xf>
    <xf numFmtId="0" fontId="3" fillId="0" borderId="3" xfId="3" applyFont="1" applyBorder="1" applyAlignment="1">
      <alignment horizontal="center" vertical="center"/>
    </xf>
    <xf numFmtId="2" fontId="3" fillId="0" borderId="3" xfId="3" applyNumberFormat="1" applyFont="1" applyBorder="1" applyAlignment="1">
      <alignment horizontal="center" vertical="center"/>
    </xf>
    <xf numFmtId="0" fontId="3" fillId="0" borderId="0" xfId="4"/>
    <xf numFmtId="0" fontId="6" fillId="0" borderId="0" xfId="4" applyFont="1"/>
    <xf numFmtId="0" fontId="13" fillId="0" borderId="0" xfId="4" applyFont="1"/>
    <xf numFmtId="0" fontId="14" fillId="0" borderId="0" xfId="4" applyFont="1"/>
    <xf numFmtId="165" fontId="6" fillId="0" borderId="0" xfId="4" applyNumberFormat="1" applyFont="1" applyAlignment="1">
      <alignment horizontal="center" vertical="center" wrapText="1"/>
    </xf>
    <xf numFmtId="0" fontId="6" fillId="0" borderId="0" xfId="4" applyFont="1" applyAlignment="1">
      <alignment horizontal="center" vertical="center"/>
    </xf>
    <xf numFmtId="0" fontId="3" fillId="0" borderId="0" xfId="4" applyAlignment="1">
      <alignment vertical="top" wrapText="1"/>
    </xf>
    <xf numFmtId="0" fontId="15" fillId="0" borderId="9" xfId="4" applyFont="1" applyBorder="1" applyAlignment="1">
      <alignment horizontal="center" vertical="center"/>
    </xf>
    <xf numFmtId="0" fontId="15" fillId="0" borderId="10" xfId="4" applyFont="1" applyBorder="1" applyAlignment="1">
      <alignment horizontal="center" vertical="center"/>
    </xf>
    <xf numFmtId="0" fontId="15" fillId="0" borderId="8" xfId="4" applyFont="1" applyBorder="1" applyAlignment="1">
      <alignment horizontal="center" vertical="center"/>
    </xf>
    <xf numFmtId="165" fontId="15" fillId="0" borderId="8" xfId="4" applyNumberFormat="1" applyFont="1" applyBorder="1" applyAlignment="1">
      <alignment horizontal="center" vertical="center"/>
    </xf>
    <xf numFmtId="165" fontId="15" fillId="0" borderId="10" xfId="4" applyNumberFormat="1" applyFont="1" applyBorder="1" applyAlignment="1">
      <alignment horizontal="center" vertical="center"/>
    </xf>
    <xf numFmtId="0" fontId="16" fillId="0" borderId="9" xfId="4" quotePrefix="1" applyFont="1" applyBorder="1" applyAlignment="1">
      <alignment horizontal="center" vertical="center"/>
    </xf>
    <xf numFmtId="0" fontId="16" fillId="0" borderId="10" xfId="4" applyFont="1" applyBorder="1" applyAlignment="1">
      <alignment horizontal="center" vertical="center"/>
    </xf>
    <xf numFmtId="0" fontId="16" fillId="0" borderId="8" xfId="4" applyFont="1" applyBorder="1" applyAlignment="1">
      <alignment horizontal="center" vertical="center"/>
    </xf>
    <xf numFmtId="165" fontId="16" fillId="0" borderId="8" xfId="4" applyNumberFormat="1" applyFont="1" applyBorder="1" applyAlignment="1">
      <alignment horizontal="center" vertical="center"/>
    </xf>
    <xf numFmtId="0" fontId="3" fillId="0" borderId="0" xfId="4" applyAlignment="1">
      <alignment horizontal="center"/>
    </xf>
    <xf numFmtId="0" fontId="17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3" fillId="0" borderId="3" xfId="1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6" fillId="0" borderId="5" xfId="3" applyFont="1" applyBorder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7" fillId="3" borderId="0" xfId="0" applyFont="1" applyFill="1" applyAlignment="1">
      <alignment horizontal="left" vertical="center"/>
    </xf>
    <xf numFmtId="0" fontId="0" fillId="0" borderId="1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3" fillId="0" borderId="0" xfId="2"/>
    <xf numFmtId="0" fontId="6" fillId="0" borderId="0" xfId="3" applyFont="1" applyAlignment="1">
      <alignment vertical="center" wrapText="1"/>
    </xf>
    <xf numFmtId="0" fontId="9" fillId="0" borderId="3" xfId="3" applyFont="1" applyBorder="1" applyAlignment="1">
      <alignment horizontal="left" vertical="center"/>
    </xf>
    <xf numFmtId="0" fontId="13" fillId="0" borderId="0" xfId="4" applyFont="1" applyAlignment="1">
      <alignment horizontal="right"/>
    </xf>
    <xf numFmtId="0" fontId="13" fillId="0" borderId="0" xfId="4" applyFont="1" applyAlignment="1">
      <alignment horizontal="left"/>
    </xf>
    <xf numFmtId="0" fontId="10" fillId="0" borderId="0" xfId="4" applyFont="1" applyAlignment="1">
      <alignment horizontal="center" vertical="center"/>
    </xf>
    <xf numFmtId="0" fontId="11" fillId="0" borderId="0" xfId="4" applyFont="1" applyAlignment="1">
      <alignment horizontal="center" vertical="center" wrapText="1"/>
    </xf>
    <xf numFmtId="0" fontId="11" fillId="0" borderId="0" xfId="4" applyFont="1" applyAlignment="1">
      <alignment horizontal="center" vertical="center"/>
    </xf>
    <xf numFmtId="0" fontId="10" fillId="0" borderId="0" xfId="4" applyFont="1" applyAlignment="1">
      <alignment horizontal="right"/>
    </xf>
    <xf numFmtId="0" fontId="10" fillId="0" borderId="0" xfId="4" applyFont="1"/>
    <xf numFmtId="0" fontId="12" fillId="0" borderId="0" xfId="4" applyFont="1" applyAlignment="1">
      <alignment horizontal="right"/>
    </xf>
    <xf numFmtId="0" fontId="12" fillId="0" borderId="0" xfId="4" applyFont="1"/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7" xfId="3" applyFont="1" applyBorder="1" applyAlignment="1">
      <alignment horizontal="center" vertical="center" wrapText="1"/>
    </xf>
    <xf numFmtId="0" fontId="6" fillId="0" borderId="13" xfId="3" applyFont="1" applyBorder="1" applyAlignment="1">
      <alignment horizontal="center" vertical="center" wrapText="1"/>
    </xf>
    <xf numFmtId="0" fontId="6" fillId="0" borderId="6" xfId="3" applyFont="1" applyBorder="1" applyAlignment="1">
      <alignment horizontal="center" vertical="center" wrapText="1"/>
    </xf>
    <xf numFmtId="0" fontId="6" fillId="0" borderId="3" xfId="3" applyFont="1" applyBorder="1" applyAlignment="1">
      <alignment horizontal="center" vertical="center" wrapText="1"/>
    </xf>
    <xf numFmtId="0" fontId="8" fillId="0" borderId="3" xfId="3" applyFont="1" applyBorder="1" applyAlignment="1">
      <alignment horizontal="center" vertical="center" wrapText="1"/>
    </xf>
  </cellXfs>
  <cellStyles count="5">
    <cellStyle name="Normal" xfId="0" builtinId="0"/>
    <cellStyle name="Normal 2" xfId="2" xr:uid="{69A9D921-3DD0-4ABB-8CAD-841F878CFC6D}"/>
    <cellStyle name="Normal 6" xfId="4" xr:uid="{94A5E8D8-96FE-447B-87BE-C85CB2D929AF}"/>
    <cellStyle name="Percent" xfId="1" builtinId="5"/>
    <cellStyle name="標準_評価管理表" xfId="3" xr:uid="{2BE73CD3-4C15-422D-BF48-85CF1C2FB981}"/>
  </cellStyles>
  <dxfs count="59"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</font>
    </dxf>
    <dxf>
      <font>
        <color rgb="FF9C5700"/>
      </font>
      <fill>
        <patternFill>
          <bgColor rgb="FFFFEB9C"/>
        </patternFill>
      </fill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border outline="0">
        <left style="thin">
          <color theme="4"/>
        </left>
        <top style="thin">
          <color theme="4"/>
        </top>
      </border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rgb="FF156082"/>
          <bgColor rgb="FF156082"/>
        </patternFill>
      </fill>
      <alignment horizontal="general" vertical="center" textRotation="0" wrapText="0" indent="0" justifyLastLine="0" shrinkToFit="0" readingOrder="0"/>
    </dxf>
    <dxf>
      <numFmt numFmtId="0" formatCode="General"/>
      <alignment horizontal="left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5" formatCode="[$-3409]d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5" formatCode="[$-3409]d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5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5" formatCode="[$-3409]dd\-mmm\-yy;@"/>
      <alignment horizont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5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16F3A6-F127-4979-B566-4F43F38D48D3}" name="DvtReportOverviewTable" displayName="DvtReportOverviewTable" ref="C45:H46" totalsRowShown="0" headerRowDxfId="58" dataDxfId="56" headerRowBorderDxfId="57" tableBorderDxfId="55" headerRowCellStyle="Normal 6">
  <autoFilter ref="C45:H46" xr:uid="{1AFFB2D1-2149-4862-AE2B-A7A5AE4CBA3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03F2C4F-3EBA-4523-BDE9-7D4DA0E7EBB0}" name="Rev" dataDxfId="54"/>
    <tableColumn id="2" xr3:uid="{F0E68BE0-B8EE-4097-9A2E-13CA686141C4}" name="Description" dataDxfId="53" dataCellStyle="Normal 6"/>
    <tableColumn id="3" xr3:uid="{BCACC5A1-F015-41DE-8C52-13BAAB25C0A1}" name="Engineer" dataDxfId="52" dataCellStyle="Normal 6"/>
    <tableColumn id="4" xr3:uid="{E27FD832-BCEA-4B59-9FDF-DDEF72032247}" name="Date Prepared" dataDxfId="51" dataCellStyle="Normal 6"/>
    <tableColumn id="5" xr3:uid="{ABE0D5E0-BBEE-4728-ACDA-877A994681FA}" name="Checked" dataDxfId="50" dataCellStyle="Normal 6"/>
    <tableColumn id="6" xr3:uid="{BFF7887D-19EC-4FCE-864B-7A8B9A39D5B2}" name="Date Checked" dataDxfId="49" dataCellStyle="Normal 6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700FD0-7A61-44EB-8A87-1F3510F14584}" name="SummaryTable" displayName="SummaryTable" ref="A12:R13" totalsRowShown="0" headerRowDxfId="48" dataDxfId="46" headerRowBorderDxfId="47" tableBorderDxfId="45" headerRowCellStyle="標準_評価管理表">
  <tableColumns count="18">
    <tableColumn id="1" xr3:uid="{1FDDF5A5-475D-4286-BA70-145DC93941C6}" name="DVT" dataDxfId="44">
      <calculatedColumnFormula>_xlfn.XLOOKUP(SummaryTable[[#This Row],[OMS]], TestLookup[OMS], TestLookup[DVT], "")</calculatedColumnFormula>
    </tableColumn>
    <tableColumn id="2" xr3:uid="{9F077023-40FD-4B7A-8CB8-8ECBE32061EF}" name="OMS" dataDxfId="43">
      <calculatedColumnFormula>_xlfn.XLOOKUP(SummaryTable[[#This Row],[Test Item]], TestLookup[ITEMS], TestLookup[OMS], "")</calculatedColumnFormula>
    </tableColumn>
    <tableColumn id="3" xr3:uid="{F935DCB2-8D7D-4F24-84B0-DEE7146B4237}" name="Test Item" dataDxfId="42"/>
    <tableColumn id="4" xr3:uid="{5F9F4DAC-2E58-478D-AF51-25BAEB3F8FB7}" name="Input Voltage_x000a_(VAC)" dataDxfId="41"/>
    <tableColumn id="5" xr3:uid="{DE73E203-6A13-43CA-A693-9C414BEB1C17}" name="Load _x000a_(%)" dataDxfId="40"/>
    <tableColumn id="18" xr3:uid="{63EE3414-BD78-4BCC-89F2-3FF447ED30B8}" name="Voltage_x000a_(%)" dataDxfId="39" dataCellStyle="標準_評価管理表"/>
    <tableColumn id="6" xr3:uid="{B1E50CA8-85DE-4A94-93D3-47C4EE3F551C}" name="Temp _x000a_(℃)" dataDxfId="38"/>
    <tableColumn id="15" xr3:uid="{94FB6489-A018-4D3B-AE2C-AEE6AD7527AA}" name="Qualifier" dataDxfId="37" dataCellStyle="標準_評価管理表">
      <calculatedColumnFormula>_xlfn.XLOOKUP(SummaryTable[[#This Row],[Test Item]], TestLookup[ITEMS], TestLookup[Qualifier], "")</calculatedColumnFormula>
    </tableColumn>
    <tableColumn id="7" xr3:uid="{2A896A5F-C9B8-4619-9BD5-4F7DBBD6195E}" name="Q.Value" dataDxfId="36" dataCellStyle="Percent"/>
    <tableColumn id="17" xr3:uid="{3459DEEE-E31D-4D0C-B1EC-D7273A05C9B7}" name="Unit" dataDxfId="35" dataCellStyle="Percent">
      <calculatedColumnFormula>_xlfn.XLOOKUP(SummaryTable[[#This Row],[Test Item]], TestLookup[ITEMS], TestLookup[Unit], "")</calculatedColumnFormula>
    </tableColumn>
    <tableColumn id="16" xr3:uid="{475B4764-0B55-44FE-8CE8-B55E619A4922}" name="Specification" dataDxfId="34" dataCellStyle="Percent">
      <calculatedColumnFormula array="1">_xlfn.LET(_xlpm.q,SummaryTable[[#This Row],[Qualifier]],_xlpm.v,TRIM(SummaryTable[[#This Row],[Q.Value]]&amp;""),_xlpm.u,SummaryTable[[#This Row],[Unit]],IF(OR(_xlpm.v="",_xlpm.v="None",_xlpm.v="-"),"No Spec",IF(_xlpm.v="TBA","TBA",_xlfn.LET(_xlpm.x,TRIM(_xlfn.TEXTSPLIT(_xlpm.v,",")),_xlpm.s,IF(OR(_xlpm.u="",_xlpm.u="None"),""," "&amp;TRIM(_xlpm.u)),IF(OR(_xlpm.q="≤",_xlpm.q="≥"),_xlpm.q&amp;" "&amp;_xlpm.v&amp;_xlpm.s,IF(_xlpm.q="±",IF(COLUMNS(_xlpm.x)=1,"±"&amp;_xlpm.v&amp;_xlpm.s,_xlfn.TEXTJOIN(" to ",TRUE,VALUE(_xlpm.x))&amp;_xlpm.s),""))))))</calculatedColumnFormula>
    </tableColumn>
    <tableColumn id="8" xr3:uid="{915E3F49-8BDF-4519-8602-12C98539E2EC}" name="Slot / Chassis" dataDxfId="33"/>
    <tableColumn id="9" xr3:uid="{C8685340-C0AA-478B-AF63-0A3D4A839A14}" name="Model" dataDxfId="32">
      <calculatedColumnFormula>_xlfn.XLOOKUP(SummaryTable[[#This Row],[Slot / Chassis]],SlotLookupTable[Slot / Chassis],SlotLookupTable[Model])</calculatedColumnFormula>
    </tableColumn>
    <tableColumn id="10" xr3:uid="{DA92829B-5D94-49C9-976E-3305FA21CC3E}" name="Firmware" dataDxfId="31">
      <calculatedColumnFormula>_xlfn.XLOOKUP(SummaryTable[[#This Row],[Slot / Chassis]],SlotLookupTable[Slot / Chassis],SlotLookupTable[Firmware])</calculatedColumnFormula>
    </tableColumn>
    <tableColumn id="11" xr3:uid="{E11F7D7D-79D1-43D2-AE6C-65310AF98D37}" name="Serial Number" dataDxfId="30" dataCellStyle="標準_評価管理表">
      <calculatedColumnFormula>_xlfn.XLOOKUP(SummaryTable[[#This Row],[Slot / Chassis]],SlotLookupTable[Slot / Chassis],SlotLookupTable[Serial Number])</calculatedColumnFormula>
    </tableColumn>
    <tableColumn id="12" xr3:uid="{E3FC975D-7EC8-41A7-A9E4-08BB9235AC8B}" name="Value" dataDxfId="29" dataCellStyle="標準_評価管理表"/>
    <tableColumn id="13" xr3:uid="{2EABC78C-AF0A-4356-88E9-56A4D95B4A8F}" name="Results" dataDxfId="28" dataCellStyle="標準_評価管理表">
      <calculatedColumnFormula array="1">_xlfn.LET(_xlpm.s,SummaryTable[[#This Row],[Specification]],_xlpm.v,SummaryTable[[#This Row],[Value]],_xlpm.q,SummaryTable[[#This Row],[Qualifier]],_xlpm.r,TRIM(SummaryTable[[#This Row],[Q.Value]]&amp;""),_xlpm.u,TRIM(SummaryTable[[#This Row],[Unit]]&amp;""),_xlpm.z,TRIM(_xlpm.v&amp;""),_xlpm.p,IFERROR(SEARCH("/",_xlpm.z),0),_xlpm.isPair,AND(_xlpm.p&gt;0,ISNUMBER(SEARCH("%",_xlpm.z))),_xlpm.a,IFERROR(VALUE(SUBSTITUTE(LEFT(_xlpm.z,_xlpm.p-1),"%","")),NA()),_xlpm.b,IFERROR(VALUE(SUBSTITUTE(MID(_xlpm.z,_xlpm.p+1,LEN(_xlpm.z)),"%","")),NA()),_xlpm.n,IFERROR(IF(ISNUMBER(_xlpm.v),IF(OR(LEFT(_xlpm.u,1)="%",ISNUMBER(SEARCH("%",_xlpm.u))),_xlpm.v*100,_xlpm.v),IF(RIGHT(_xlpm.z,2)="ms",VALUE(LEFT(_xlpm.z,LEN(_xlpm.z)-2))/1000,IF(RIGHT(_xlpm.z,1)="s",VALUE(LEFT(_xlpm.z,LEN(_xlpm.z)-1)),VALUE(SUBSTITUTE(_xlpm.z,"%",""))))),NA()),_xlpm.x,TRIM(_xlfn.TEXTSPLIT(_xlpm.r,",")),_xlpm.tx,IFERROR(IF(RIGHT(TRIM(_xlpm.x),2)="ms",VALUE(LEFT(TRIM(_xlpm.x),LEN(TRIM(_xlpm.x))-2))/1000,IF(RIGHT(TRIM(_xlpm.x),1)="s",VALUE(LEFT(TRIM(_xlpm.x),LEN(TRIM(_xlpm.x))-1)),VALUE(SUBSTITUTE(TRIM(_xlpm.x),"%",""))/IF(_xlpm.u="ms",1000,1))),NA()),_xlpm.t,IFERROR(IF(RIGHT(_xlpm.r,2)="ms",VALUE(LEFT(_xlpm.r,LEN(_xlpm.r)-2))/1000,IF(RIGHT(_xlpm.r,1)="s",VALUE(LEFT(_xlpm.r,LEN(_xlpm.r)-1)),VALUE(SUBSTITUTE(_xlpm.r,"%",""))/IF(_xlpm.u="ms",1000,1))),NA()),IF(OR(_xlpm.s="",_xlpm.s="TBA",_xlpm.s="No Spec"),"N/A",IF(_xlpm.v="","ERROR",IFERROR(IF(_xlpm.isPair,IF(_xlpm.q="±",IF(AND(_xlpm.a&gt;=-ABS(_xlpm.t),_xlpm.a&lt;=ABS(_xlpm.t),_xlpm.b&gt;=-ABS(_xlpm.t),_xlpm.b&lt;=ABS(_xlpm.t)),"PASS","FAIL"),"N/A"),IF(_xlpm.q="≤",IF(_xlpm.n&lt;=_xlpm.t,"PASS","FAIL"),IF(_xlpm.q="≥",IF(_xlpm.n&gt;=_xlpm.t,"PASS","FAIL"),IF(_xlpm.q="±",IF(COLUMNS(_xlpm.x)=1,IF(ABS(_xlpm.n)&lt;=ABS(INDEX(_xlpm.tx,1)),"PASS","FAIL"),IF(AND(_xlpm.n&gt;=MIN(_xlpm.tx),_xlpm.n&lt;=MAX(_xlpm.tx)),"PASS","FAIL")),"N/A")))),"N/A"))))</calculatedColumnFormula>
    </tableColumn>
    <tableColumn id="14" xr3:uid="{E4827CEA-4B5B-4FC7-B20A-695AE1FA7B13}" name="Comments" dataDxfId="27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476C70-FFA8-4677-ADF2-0A1128480D8C}" name="SlotLookupTable" displayName="SlotLookupTable" ref="L2:P9" totalsRowShown="0" headerRowDxfId="26" dataDxfId="25">
  <autoFilter ref="L2:P9" xr:uid="{8ADD6A0B-8151-48E4-8F3C-863007B24EFD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64DA1FD-2C1B-449C-BAF8-F3194117EF61}" name="Slot / Chassis" dataDxfId="24"/>
    <tableColumn id="2" xr3:uid="{ED3585C3-7538-49AA-AC27-6801D4707E40}" name="Model" dataDxfId="23"/>
    <tableColumn id="3" xr3:uid="{E3AD2A12-92DE-4E16-9986-4BF2A222BEAA}" name="Firmware" dataDxfId="22"/>
    <tableColumn id="4" xr3:uid="{C945F878-4C1F-456B-AE86-F2FAE16E3B66}" name="Serial Number" dataDxfId="21"/>
    <tableColumn id="5" xr3:uid="{82C20A36-EA7D-4406-A8A3-7853E364EC94}" name="Notes" dataDxfId="20"/>
  </tableColumns>
  <tableStyleInfo name="TableStyleLight10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6EBAD2-FF0A-4502-836E-08FD339C9E0F}" name="TestLookup" displayName="TestLookup" ref="B2:F44" totalsRowShown="0" headerRowDxfId="19" dataDxfId="18">
  <tableColumns count="5">
    <tableColumn id="1" xr3:uid="{876EDF84-6154-4200-9F94-18E5EDF0AB7E}" name="DVT" dataDxfId="17"/>
    <tableColumn id="2" xr3:uid="{C23487AF-4E57-4E26-8398-679D4EED4FA4}" name="OMS" dataDxfId="16"/>
    <tableColumn id="3" xr3:uid="{56A253AD-FC7A-4324-A769-CA414B73C98B}" name="ITEMS" dataDxfId="15"/>
    <tableColumn id="4" xr3:uid="{3CE0D717-702F-40D4-908E-D15FBC27B81B}" name="Qualifier" dataDxfId="14"/>
    <tableColumn id="5" xr3:uid="{0F1D82BC-4420-43AB-8D90-4B483BFCFC8E}" name="Unit" dataDxfId="13"/>
  </tableColumns>
  <tableStyleInfo name="TableStyleLight16" showFirstColumn="0" showLastColumn="0" showRowStripes="0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45729A0-28A8-4456-AAD5-30A26EC7C5E9}" name="Table6" displayName="Table6" ref="H2:H7" totalsRowShown="0" headerRowDxfId="12" dataDxfId="11" tableBorderDxfId="10">
  <autoFilter ref="H2:H7" xr:uid="{A45729A0-28A8-4456-AAD5-30A26EC7C5E9}">
    <filterColumn colId="0" hiddenButton="1"/>
  </autoFilter>
  <tableColumns count="1">
    <tableColumn id="1" xr3:uid="{3CCDA977-15A8-446F-90C7-C5E804ECC370}" name="Qualifier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0E9F2C-96DC-461F-9120-16303C17FF79}" name="Table7" displayName="Table7" ref="J2:J20" totalsRowShown="0" dataDxfId="8">
  <autoFilter ref="J2:J20" xr:uid="{D40E9F2C-96DC-461F-9120-16303C17FF79}">
    <filterColumn colId="0" hiddenButton="1"/>
  </autoFilter>
  <tableColumns count="1">
    <tableColumn id="1" xr3:uid="{78A9699A-4545-4E0C-ABF5-272C8CDB4AFE}" name="Unit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71407-D099-44D6-82D0-098CA6D89362}">
  <dimension ref="A7:I51"/>
  <sheetViews>
    <sheetView showGridLines="0" tabSelected="1" view="pageLayout" topLeftCell="A30" zoomScaleNormal="100" zoomScaleSheetLayoutView="100" workbookViewId="0"/>
  </sheetViews>
  <sheetFormatPr defaultRowHeight="12.75"/>
  <cols>
    <col min="1" max="1" width="2.7109375" style="38" customWidth="1"/>
    <col min="2" max="2" width="6.42578125" style="38" customWidth="1"/>
    <col min="3" max="3" width="7.7109375" style="38" customWidth="1"/>
    <col min="4" max="4" width="20.28515625" style="38" customWidth="1"/>
    <col min="5" max="5" width="10.5703125" style="38" customWidth="1"/>
    <col min="6" max="6" width="12.85546875" style="38" customWidth="1"/>
    <col min="7" max="7" width="10.28515625" style="38" customWidth="1"/>
    <col min="8" max="8" width="12.28515625" style="38" customWidth="1"/>
    <col min="9" max="9" width="9.140625" style="38"/>
    <col min="10" max="10" width="2.7109375" style="38" customWidth="1"/>
    <col min="11" max="255" width="9.140625" style="38"/>
    <col min="256" max="256" width="2.7109375" style="38" customWidth="1"/>
    <col min="257" max="261" width="9.140625" style="38"/>
    <col min="262" max="262" width="10.7109375" style="38" customWidth="1"/>
    <col min="263" max="263" width="9.140625" style="38"/>
    <col min="264" max="264" width="10.7109375" style="38" customWidth="1"/>
    <col min="265" max="265" width="9.140625" style="38"/>
    <col min="266" max="266" width="2.7109375" style="38" customWidth="1"/>
    <col min="267" max="511" width="9.140625" style="38"/>
    <col min="512" max="512" width="2.7109375" style="38" customWidth="1"/>
    <col min="513" max="517" width="9.140625" style="38"/>
    <col min="518" max="518" width="10.7109375" style="38" customWidth="1"/>
    <col min="519" max="519" width="9.140625" style="38"/>
    <col min="520" max="520" width="10.7109375" style="38" customWidth="1"/>
    <col min="521" max="521" width="9.140625" style="38"/>
    <col min="522" max="522" width="2.7109375" style="38" customWidth="1"/>
    <col min="523" max="767" width="9.140625" style="38"/>
    <col min="768" max="768" width="2.7109375" style="38" customWidth="1"/>
    <col min="769" max="773" width="9.140625" style="38"/>
    <col min="774" max="774" width="10.7109375" style="38" customWidth="1"/>
    <col min="775" max="775" width="9.140625" style="38"/>
    <col min="776" max="776" width="10.7109375" style="38" customWidth="1"/>
    <col min="777" max="777" width="9.140625" style="38"/>
    <col min="778" max="778" width="2.7109375" style="38" customWidth="1"/>
    <col min="779" max="1023" width="9.140625" style="38"/>
    <col min="1024" max="1024" width="2.7109375" style="38" customWidth="1"/>
    <col min="1025" max="1029" width="9.140625" style="38"/>
    <col min="1030" max="1030" width="10.7109375" style="38" customWidth="1"/>
    <col min="1031" max="1031" width="9.140625" style="38"/>
    <col min="1032" max="1032" width="10.7109375" style="38" customWidth="1"/>
    <col min="1033" max="1033" width="9.140625" style="38"/>
    <col min="1034" max="1034" width="2.7109375" style="38" customWidth="1"/>
    <col min="1035" max="1279" width="9.140625" style="38"/>
    <col min="1280" max="1280" width="2.7109375" style="38" customWidth="1"/>
    <col min="1281" max="1285" width="9.140625" style="38"/>
    <col min="1286" max="1286" width="10.7109375" style="38" customWidth="1"/>
    <col min="1287" max="1287" width="9.140625" style="38"/>
    <col min="1288" max="1288" width="10.7109375" style="38" customWidth="1"/>
    <col min="1289" max="1289" width="9.140625" style="38"/>
    <col min="1290" max="1290" width="2.7109375" style="38" customWidth="1"/>
    <col min="1291" max="1535" width="9.140625" style="38"/>
    <col min="1536" max="1536" width="2.7109375" style="38" customWidth="1"/>
    <col min="1537" max="1541" width="9.140625" style="38"/>
    <col min="1542" max="1542" width="10.7109375" style="38" customWidth="1"/>
    <col min="1543" max="1543" width="9.140625" style="38"/>
    <col min="1544" max="1544" width="10.7109375" style="38" customWidth="1"/>
    <col min="1545" max="1545" width="9.140625" style="38"/>
    <col min="1546" max="1546" width="2.7109375" style="38" customWidth="1"/>
    <col min="1547" max="1791" width="9.140625" style="38"/>
    <col min="1792" max="1792" width="2.7109375" style="38" customWidth="1"/>
    <col min="1793" max="1797" width="9.140625" style="38"/>
    <col min="1798" max="1798" width="10.7109375" style="38" customWidth="1"/>
    <col min="1799" max="1799" width="9.140625" style="38"/>
    <col min="1800" max="1800" width="10.7109375" style="38" customWidth="1"/>
    <col min="1801" max="1801" width="9.140625" style="38"/>
    <col min="1802" max="1802" width="2.7109375" style="38" customWidth="1"/>
    <col min="1803" max="2047" width="9.140625" style="38"/>
    <col min="2048" max="2048" width="2.7109375" style="38" customWidth="1"/>
    <col min="2049" max="2053" width="9.140625" style="38"/>
    <col min="2054" max="2054" width="10.7109375" style="38" customWidth="1"/>
    <col min="2055" max="2055" width="9.140625" style="38"/>
    <col min="2056" max="2056" width="10.7109375" style="38" customWidth="1"/>
    <col min="2057" max="2057" width="9.140625" style="38"/>
    <col min="2058" max="2058" width="2.7109375" style="38" customWidth="1"/>
    <col min="2059" max="2303" width="9.140625" style="38"/>
    <col min="2304" max="2304" width="2.7109375" style="38" customWidth="1"/>
    <col min="2305" max="2309" width="9.140625" style="38"/>
    <col min="2310" max="2310" width="10.7109375" style="38" customWidth="1"/>
    <col min="2311" max="2311" width="9.140625" style="38"/>
    <col min="2312" max="2312" width="10.7109375" style="38" customWidth="1"/>
    <col min="2313" max="2313" width="9.140625" style="38"/>
    <col min="2314" max="2314" width="2.7109375" style="38" customWidth="1"/>
    <col min="2315" max="2559" width="9.140625" style="38"/>
    <col min="2560" max="2560" width="2.7109375" style="38" customWidth="1"/>
    <col min="2561" max="2565" width="9.140625" style="38"/>
    <col min="2566" max="2566" width="10.7109375" style="38" customWidth="1"/>
    <col min="2567" max="2567" width="9.140625" style="38"/>
    <col min="2568" max="2568" width="10.7109375" style="38" customWidth="1"/>
    <col min="2569" max="2569" width="9.140625" style="38"/>
    <col min="2570" max="2570" width="2.7109375" style="38" customWidth="1"/>
    <col min="2571" max="2815" width="9.140625" style="38"/>
    <col min="2816" max="2816" width="2.7109375" style="38" customWidth="1"/>
    <col min="2817" max="2821" width="9.140625" style="38"/>
    <col min="2822" max="2822" width="10.7109375" style="38" customWidth="1"/>
    <col min="2823" max="2823" width="9.140625" style="38"/>
    <col min="2824" max="2824" width="10.7109375" style="38" customWidth="1"/>
    <col min="2825" max="2825" width="9.140625" style="38"/>
    <col min="2826" max="2826" width="2.7109375" style="38" customWidth="1"/>
    <col min="2827" max="3071" width="9.140625" style="38"/>
    <col min="3072" max="3072" width="2.7109375" style="38" customWidth="1"/>
    <col min="3073" max="3077" width="9.140625" style="38"/>
    <col min="3078" max="3078" width="10.7109375" style="38" customWidth="1"/>
    <col min="3079" max="3079" width="9.140625" style="38"/>
    <col min="3080" max="3080" width="10.7109375" style="38" customWidth="1"/>
    <col min="3081" max="3081" width="9.140625" style="38"/>
    <col min="3082" max="3082" width="2.7109375" style="38" customWidth="1"/>
    <col min="3083" max="3327" width="9.140625" style="38"/>
    <col min="3328" max="3328" width="2.7109375" style="38" customWidth="1"/>
    <col min="3329" max="3333" width="9.140625" style="38"/>
    <col min="3334" max="3334" width="10.7109375" style="38" customWidth="1"/>
    <col min="3335" max="3335" width="9.140625" style="38"/>
    <col min="3336" max="3336" width="10.7109375" style="38" customWidth="1"/>
    <col min="3337" max="3337" width="9.140625" style="38"/>
    <col min="3338" max="3338" width="2.7109375" style="38" customWidth="1"/>
    <col min="3339" max="3583" width="9.140625" style="38"/>
    <col min="3584" max="3584" width="2.7109375" style="38" customWidth="1"/>
    <col min="3585" max="3589" width="9.140625" style="38"/>
    <col min="3590" max="3590" width="10.7109375" style="38" customWidth="1"/>
    <col min="3591" max="3591" width="9.140625" style="38"/>
    <col min="3592" max="3592" width="10.7109375" style="38" customWidth="1"/>
    <col min="3593" max="3593" width="9.140625" style="38"/>
    <col min="3594" max="3594" width="2.7109375" style="38" customWidth="1"/>
    <col min="3595" max="3839" width="9.140625" style="38"/>
    <col min="3840" max="3840" width="2.7109375" style="38" customWidth="1"/>
    <col min="3841" max="3845" width="9.140625" style="38"/>
    <col min="3846" max="3846" width="10.7109375" style="38" customWidth="1"/>
    <col min="3847" max="3847" width="9.140625" style="38"/>
    <col min="3848" max="3848" width="10.7109375" style="38" customWidth="1"/>
    <col min="3849" max="3849" width="9.140625" style="38"/>
    <col min="3850" max="3850" width="2.7109375" style="38" customWidth="1"/>
    <col min="3851" max="4095" width="9.140625" style="38"/>
    <col min="4096" max="4096" width="2.7109375" style="38" customWidth="1"/>
    <col min="4097" max="4101" width="9.140625" style="38"/>
    <col min="4102" max="4102" width="10.7109375" style="38" customWidth="1"/>
    <col min="4103" max="4103" width="9.140625" style="38"/>
    <col min="4104" max="4104" width="10.7109375" style="38" customWidth="1"/>
    <col min="4105" max="4105" width="9.140625" style="38"/>
    <col min="4106" max="4106" width="2.7109375" style="38" customWidth="1"/>
    <col min="4107" max="4351" width="9.140625" style="38"/>
    <col min="4352" max="4352" width="2.7109375" style="38" customWidth="1"/>
    <col min="4353" max="4357" width="9.140625" style="38"/>
    <col min="4358" max="4358" width="10.7109375" style="38" customWidth="1"/>
    <col min="4359" max="4359" width="9.140625" style="38"/>
    <col min="4360" max="4360" width="10.7109375" style="38" customWidth="1"/>
    <col min="4361" max="4361" width="9.140625" style="38"/>
    <col min="4362" max="4362" width="2.7109375" style="38" customWidth="1"/>
    <col min="4363" max="4607" width="9.140625" style="38"/>
    <col min="4608" max="4608" width="2.7109375" style="38" customWidth="1"/>
    <col min="4609" max="4613" width="9.140625" style="38"/>
    <col min="4614" max="4614" width="10.7109375" style="38" customWidth="1"/>
    <col min="4615" max="4615" width="9.140625" style="38"/>
    <col min="4616" max="4616" width="10.7109375" style="38" customWidth="1"/>
    <col min="4617" max="4617" width="9.140625" style="38"/>
    <col min="4618" max="4618" width="2.7109375" style="38" customWidth="1"/>
    <col min="4619" max="4863" width="9.140625" style="38"/>
    <col min="4864" max="4864" width="2.7109375" style="38" customWidth="1"/>
    <col min="4865" max="4869" width="9.140625" style="38"/>
    <col min="4870" max="4870" width="10.7109375" style="38" customWidth="1"/>
    <col min="4871" max="4871" width="9.140625" style="38"/>
    <col min="4872" max="4872" width="10.7109375" style="38" customWidth="1"/>
    <col min="4873" max="4873" width="9.140625" style="38"/>
    <col min="4874" max="4874" width="2.7109375" style="38" customWidth="1"/>
    <col min="4875" max="5119" width="9.140625" style="38"/>
    <col min="5120" max="5120" width="2.7109375" style="38" customWidth="1"/>
    <col min="5121" max="5125" width="9.140625" style="38"/>
    <col min="5126" max="5126" width="10.7109375" style="38" customWidth="1"/>
    <col min="5127" max="5127" width="9.140625" style="38"/>
    <col min="5128" max="5128" width="10.7109375" style="38" customWidth="1"/>
    <col min="5129" max="5129" width="9.140625" style="38"/>
    <col min="5130" max="5130" width="2.7109375" style="38" customWidth="1"/>
    <col min="5131" max="5375" width="9.140625" style="38"/>
    <col min="5376" max="5376" width="2.7109375" style="38" customWidth="1"/>
    <col min="5377" max="5381" width="9.140625" style="38"/>
    <col min="5382" max="5382" width="10.7109375" style="38" customWidth="1"/>
    <col min="5383" max="5383" width="9.140625" style="38"/>
    <col min="5384" max="5384" width="10.7109375" style="38" customWidth="1"/>
    <col min="5385" max="5385" width="9.140625" style="38"/>
    <col min="5386" max="5386" width="2.7109375" style="38" customWidth="1"/>
    <col min="5387" max="5631" width="9.140625" style="38"/>
    <col min="5632" max="5632" width="2.7109375" style="38" customWidth="1"/>
    <col min="5633" max="5637" width="9.140625" style="38"/>
    <col min="5638" max="5638" width="10.7109375" style="38" customWidth="1"/>
    <col min="5639" max="5639" width="9.140625" style="38"/>
    <col min="5640" max="5640" width="10.7109375" style="38" customWidth="1"/>
    <col min="5641" max="5641" width="9.140625" style="38"/>
    <col min="5642" max="5642" width="2.7109375" style="38" customWidth="1"/>
    <col min="5643" max="5887" width="9.140625" style="38"/>
    <col min="5888" max="5888" width="2.7109375" style="38" customWidth="1"/>
    <col min="5889" max="5893" width="9.140625" style="38"/>
    <col min="5894" max="5894" width="10.7109375" style="38" customWidth="1"/>
    <col min="5895" max="5895" width="9.140625" style="38"/>
    <col min="5896" max="5896" width="10.7109375" style="38" customWidth="1"/>
    <col min="5897" max="5897" width="9.140625" style="38"/>
    <col min="5898" max="5898" width="2.7109375" style="38" customWidth="1"/>
    <col min="5899" max="6143" width="9.140625" style="38"/>
    <col min="6144" max="6144" width="2.7109375" style="38" customWidth="1"/>
    <col min="6145" max="6149" width="9.140625" style="38"/>
    <col min="6150" max="6150" width="10.7109375" style="38" customWidth="1"/>
    <col min="6151" max="6151" width="9.140625" style="38"/>
    <col min="6152" max="6152" width="10.7109375" style="38" customWidth="1"/>
    <col min="6153" max="6153" width="9.140625" style="38"/>
    <col min="6154" max="6154" width="2.7109375" style="38" customWidth="1"/>
    <col min="6155" max="6399" width="9.140625" style="38"/>
    <col min="6400" max="6400" width="2.7109375" style="38" customWidth="1"/>
    <col min="6401" max="6405" width="9.140625" style="38"/>
    <col min="6406" max="6406" width="10.7109375" style="38" customWidth="1"/>
    <col min="6407" max="6407" width="9.140625" style="38"/>
    <col min="6408" max="6408" width="10.7109375" style="38" customWidth="1"/>
    <col min="6409" max="6409" width="9.140625" style="38"/>
    <col min="6410" max="6410" width="2.7109375" style="38" customWidth="1"/>
    <col min="6411" max="6655" width="9.140625" style="38"/>
    <col min="6656" max="6656" width="2.7109375" style="38" customWidth="1"/>
    <col min="6657" max="6661" width="9.140625" style="38"/>
    <col min="6662" max="6662" width="10.7109375" style="38" customWidth="1"/>
    <col min="6663" max="6663" width="9.140625" style="38"/>
    <col min="6664" max="6664" width="10.7109375" style="38" customWidth="1"/>
    <col min="6665" max="6665" width="9.140625" style="38"/>
    <col min="6666" max="6666" width="2.7109375" style="38" customWidth="1"/>
    <col min="6667" max="6911" width="9.140625" style="38"/>
    <col min="6912" max="6912" width="2.7109375" style="38" customWidth="1"/>
    <col min="6913" max="6917" width="9.140625" style="38"/>
    <col min="6918" max="6918" width="10.7109375" style="38" customWidth="1"/>
    <col min="6919" max="6919" width="9.140625" style="38"/>
    <col min="6920" max="6920" width="10.7109375" style="38" customWidth="1"/>
    <col min="6921" max="6921" width="9.140625" style="38"/>
    <col min="6922" max="6922" width="2.7109375" style="38" customWidth="1"/>
    <col min="6923" max="7167" width="9.140625" style="38"/>
    <col min="7168" max="7168" width="2.7109375" style="38" customWidth="1"/>
    <col min="7169" max="7173" width="9.140625" style="38"/>
    <col min="7174" max="7174" width="10.7109375" style="38" customWidth="1"/>
    <col min="7175" max="7175" width="9.140625" style="38"/>
    <col min="7176" max="7176" width="10.7109375" style="38" customWidth="1"/>
    <col min="7177" max="7177" width="9.140625" style="38"/>
    <col min="7178" max="7178" width="2.7109375" style="38" customWidth="1"/>
    <col min="7179" max="7423" width="9.140625" style="38"/>
    <col min="7424" max="7424" width="2.7109375" style="38" customWidth="1"/>
    <col min="7425" max="7429" width="9.140625" style="38"/>
    <col min="7430" max="7430" width="10.7109375" style="38" customWidth="1"/>
    <col min="7431" max="7431" width="9.140625" style="38"/>
    <col min="7432" max="7432" width="10.7109375" style="38" customWidth="1"/>
    <col min="7433" max="7433" width="9.140625" style="38"/>
    <col min="7434" max="7434" width="2.7109375" style="38" customWidth="1"/>
    <col min="7435" max="7679" width="9.140625" style="38"/>
    <col min="7680" max="7680" width="2.7109375" style="38" customWidth="1"/>
    <col min="7681" max="7685" width="9.140625" style="38"/>
    <col min="7686" max="7686" width="10.7109375" style="38" customWidth="1"/>
    <col min="7687" max="7687" width="9.140625" style="38"/>
    <col min="7688" max="7688" width="10.7109375" style="38" customWidth="1"/>
    <col min="7689" max="7689" width="9.140625" style="38"/>
    <col min="7690" max="7690" width="2.7109375" style="38" customWidth="1"/>
    <col min="7691" max="7935" width="9.140625" style="38"/>
    <col min="7936" max="7936" width="2.7109375" style="38" customWidth="1"/>
    <col min="7937" max="7941" width="9.140625" style="38"/>
    <col min="7942" max="7942" width="10.7109375" style="38" customWidth="1"/>
    <col min="7943" max="7943" width="9.140625" style="38"/>
    <col min="7944" max="7944" width="10.7109375" style="38" customWidth="1"/>
    <col min="7945" max="7945" width="9.140625" style="38"/>
    <col min="7946" max="7946" width="2.7109375" style="38" customWidth="1"/>
    <col min="7947" max="8191" width="9.140625" style="38"/>
    <col min="8192" max="8192" width="2.7109375" style="38" customWidth="1"/>
    <col min="8193" max="8197" width="9.140625" style="38"/>
    <col min="8198" max="8198" width="10.7109375" style="38" customWidth="1"/>
    <col min="8199" max="8199" width="9.140625" style="38"/>
    <col min="8200" max="8200" width="10.7109375" style="38" customWidth="1"/>
    <col min="8201" max="8201" width="9.140625" style="38"/>
    <col min="8202" max="8202" width="2.7109375" style="38" customWidth="1"/>
    <col min="8203" max="8447" width="9.140625" style="38"/>
    <col min="8448" max="8448" width="2.7109375" style="38" customWidth="1"/>
    <col min="8449" max="8453" width="9.140625" style="38"/>
    <col min="8454" max="8454" width="10.7109375" style="38" customWidth="1"/>
    <col min="8455" max="8455" width="9.140625" style="38"/>
    <col min="8456" max="8456" width="10.7109375" style="38" customWidth="1"/>
    <col min="8457" max="8457" width="9.140625" style="38"/>
    <col min="8458" max="8458" width="2.7109375" style="38" customWidth="1"/>
    <col min="8459" max="8703" width="9.140625" style="38"/>
    <col min="8704" max="8704" width="2.7109375" style="38" customWidth="1"/>
    <col min="8705" max="8709" width="9.140625" style="38"/>
    <col min="8710" max="8710" width="10.7109375" style="38" customWidth="1"/>
    <col min="8711" max="8711" width="9.140625" style="38"/>
    <col min="8712" max="8712" width="10.7109375" style="38" customWidth="1"/>
    <col min="8713" max="8713" width="9.140625" style="38"/>
    <col min="8714" max="8714" width="2.7109375" style="38" customWidth="1"/>
    <col min="8715" max="8959" width="9.140625" style="38"/>
    <col min="8960" max="8960" width="2.7109375" style="38" customWidth="1"/>
    <col min="8961" max="8965" width="9.140625" style="38"/>
    <col min="8966" max="8966" width="10.7109375" style="38" customWidth="1"/>
    <col min="8967" max="8967" width="9.140625" style="38"/>
    <col min="8968" max="8968" width="10.7109375" style="38" customWidth="1"/>
    <col min="8969" max="8969" width="9.140625" style="38"/>
    <col min="8970" max="8970" width="2.7109375" style="38" customWidth="1"/>
    <col min="8971" max="9215" width="9.140625" style="38"/>
    <col min="9216" max="9216" width="2.7109375" style="38" customWidth="1"/>
    <col min="9217" max="9221" width="9.140625" style="38"/>
    <col min="9222" max="9222" width="10.7109375" style="38" customWidth="1"/>
    <col min="9223" max="9223" width="9.140625" style="38"/>
    <col min="9224" max="9224" width="10.7109375" style="38" customWidth="1"/>
    <col min="9225" max="9225" width="9.140625" style="38"/>
    <col min="9226" max="9226" width="2.7109375" style="38" customWidth="1"/>
    <col min="9227" max="9471" width="9.140625" style="38"/>
    <col min="9472" max="9472" width="2.7109375" style="38" customWidth="1"/>
    <col min="9473" max="9477" width="9.140625" style="38"/>
    <col min="9478" max="9478" width="10.7109375" style="38" customWidth="1"/>
    <col min="9479" max="9479" width="9.140625" style="38"/>
    <col min="9480" max="9480" width="10.7109375" style="38" customWidth="1"/>
    <col min="9481" max="9481" width="9.140625" style="38"/>
    <col min="9482" max="9482" width="2.7109375" style="38" customWidth="1"/>
    <col min="9483" max="9727" width="9.140625" style="38"/>
    <col min="9728" max="9728" width="2.7109375" style="38" customWidth="1"/>
    <col min="9729" max="9733" width="9.140625" style="38"/>
    <col min="9734" max="9734" width="10.7109375" style="38" customWidth="1"/>
    <col min="9735" max="9735" width="9.140625" style="38"/>
    <col min="9736" max="9736" width="10.7109375" style="38" customWidth="1"/>
    <col min="9737" max="9737" width="9.140625" style="38"/>
    <col min="9738" max="9738" width="2.7109375" style="38" customWidth="1"/>
    <col min="9739" max="9983" width="9.140625" style="38"/>
    <col min="9984" max="9984" width="2.7109375" style="38" customWidth="1"/>
    <col min="9985" max="9989" width="9.140625" style="38"/>
    <col min="9990" max="9990" width="10.7109375" style="38" customWidth="1"/>
    <col min="9991" max="9991" width="9.140625" style="38"/>
    <col min="9992" max="9992" width="10.7109375" style="38" customWidth="1"/>
    <col min="9993" max="9993" width="9.140625" style="38"/>
    <col min="9994" max="9994" width="2.7109375" style="38" customWidth="1"/>
    <col min="9995" max="10239" width="9.140625" style="38"/>
    <col min="10240" max="10240" width="2.7109375" style="38" customWidth="1"/>
    <col min="10241" max="10245" width="9.140625" style="38"/>
    <col min="10246" max="10246" width="10.7109375" style="38" customWidth="1"/>
    <col min="10247" max="10247" width="9.140625" style="38"/>
    <col min="10248" max="10248" width="10.7109375" style="38" customWidth="1"/>
    <col min="10249" max="10249" width="9.140625" style="38"/>
    <col min="10250" max="10250" width="2.7109375" style="38" customWidth="1"/>
    <col min="10251" max="10495" width="9.140625" style="38"/>
    <col min="10496" max="10496" width="2.7109375" style="38" customWidth="1"/>
    <col min="10497" max="10501" width="9.140625" style="38"/>
    <col min="10502" max="10502" width="10.7109375" style="38" customWidth="1"/>
    <col min="10503" max="10503" width="9.140625" style="38"/>
    <col min="10504" max="10504" width="10.7109375" style="38" customWidth="1"/>
    <col min="10505" max="10505" width="9.140625" style="38"/>
    <col min="10506" max="10506" width="2.7109375" style="38" customWidth="1"/>
    <col min="10507" max="10751" width="9.140625" style="38"/>
    <col min="10752" max="10752" width="2.7109375" style="38" customWidth="1"/>
    <col min="10753" max="10757" width="9.140625" style="38"/>
    <col min="10758" max="10758" width="10.7109375" style="38" customWidth="1"/>
    <col min="10759" max="10759" width="9.140625" style="38"/>
    <col min="10760" max="10760" width="10.7109375" style="38" customWidth="1"/>
    <col min="10761" max="10761" width="9.140625" style="38"/>
    <col min="10762" max="10762" width="2.7109375" style="38" customWidth="1"/>
    <col min="10763" max="11007" width="9.140625" style="38"/>
    <col min="11008" max="11008" width="2.7109375" style="38" customWidth="1"/>
    <col min="11009" max="11013" width="9.140625" style="38"/>
    <col min="11014" max="11014" width="10.7109375" style="38" customWidth="1"/>
    <col min="11015" max="11015" width="9.140625" style="38"/>
    <col min="11016" max="11016" width="10.7109375" style="38" customWidth="1"/>
    <col min="11017" max="11017" width="9.140625" style="38"/>
    <col min="11018" max="11018" width="2.7109375" style="38" customWidth="1"/>
    <col min="11019" max="11263" width="9.140625" style="38"/>
    <col min="11264" max="11264" width="2.7109375" style="38" customWidth="1"/>
    <col min="11265" max="11269" width="9.140625" style="38"/>
    <col min="11270" max="11270" width="10.7109375" style="38" customWidth="1"/>
    <col min="11271" max="11271" width="9.140625" style="38"/>
    <col min="11272" max="11272" width="10.7109375" style="38" customWidth="1"/>
    <col min="11273" max="11273" width="9.140625" style="38"/>
    <col min="11274" max="11274" width="2.7109375" style="38" customWidth="1"/>
    <col min="11275" max="11519" width="9.140625" style="38"/>
    <col min="11520" max="11520" width="2.7109375" style="38" customWidth="1"/>
    <col min="11521" max="11525" width="9.140625" style="38"/>
    <col min="11526" max="11526" width="10.7109375" style="38" customWidth="1"/>
    <col min="11527" max="11527" width="9.140625" style="38"/>
    <col min="11528" max="11528" width="10.7109375" style="38" customWidth="1"/>
    <col min="11529" max="11529" width="9.140625" style="38"/>
    <col min="11530" max="11530" width="2.7109375" style="38" customWidth="1"/>
    <col min="11531" max="11775" width="9.140625" style="38"/>
    <col min="11776" max="11776" width="2.7109375" style="38" customWidth="1"/>
    <col min="11777" max="11781" width="9.140625" style="38"/>
    <col min="11782" max="11782" width="10.7109375" style="38" customWidth="1"/>
    <col min="11783" max="11783" width="9.140625" style="38"/>
    <col min="11784" max="11784" width="10.7109375" style="38" customWidth="1"/>
    <col min="11785" max="11785" width="9.140625" style="38"/>
    <col min="11786" max="11786" width="2.7109375" style="38" customWidth="1"/>
    <col min="11787" max="12031" width="9.140625" style="38"/>
    <col min="12032" max="12032" width="2.7109375" style="38" customWidth="1"/>
    <col min="12033" max="12037" width="9.140625" style="38"/>
    <col min="12038" max="12038" width="10.7109375" style="38" customWidth="1"/>
    <col min="12039" max="12039" width="9.140625" style="38"/>
    <col min="12040" max="12040" width="10.7109375" style="38" customWidth="1"/>
    <col min="12041" max="12041" width="9.140625" style="38"/>
    <col min="12042" max="12042" width="2.7109375" style="38" customWidth="1"/>
    <col min="12043" max="12287" width="9.140625" style="38"/>
    <col min="12288" max="12288" width="2.7109375" style="38" customWidth="1"/>
    <col min="12289" max="12293" width="9.140625" style="38"/>
    <col min="12294" max="12294" width="10.7109375" style="38" customWidth="1"/>
    <col min="12295" max="12295" width="9.140625" style="38"/>
    <col min="12296" max="12296" width="10.7109375" style="38" customWidth="1"/>
    <col min="12297" max="12297" width="9.140625" style="38"/>
    <col min="12298" max="12298" width="2.7109375" style="38" customWidth="1"/>
    <col min="12299" max="12543" width="9.140625" style="38"/>
    <col min="12544" max="12544" width="2.7109375" style="38" customWidth="1"/>
    <col min="12545" max="12549" width="9.140625" style="38"/>
    <col min="12550" max="12550" width="10.7109375" style="38" customWidth="1"/>
    <col min="12551" max="12551" width="9.140625" style="38"/>
    <col min="12552" max="12552" width="10.7109375" style="38" customWidth="1"/>
    <col min="12553" max="12553" width="9.140625" style="38"/>
    <col min="12554" max="12554" width="2.7109375" style="38" customWidth="1"/>
    <col min="12555" max="12799" width="9.140625" style="38"/>
    <col min="12800" max="12800" width="2.7109375" style="38" customWidth="1"/>
    <col min="12801" max="12805" width="9.140625" style="38"/>
    <col min="12806" max="12806" width="10.7109375" style="38" customWidth="1"/>
    <col min="12807" max="12807" width="9.140625" style="38"/>
    <col min="12808" max="12808" width="10.7109375" style="38" customWidth="1"/>
    <col min="12809" max="12809" width="9.140625" style="38"/>
    <col min="12810" max="12810" width="2.7109375" style="38" customWidth="1"/>
    <col min="12811" max="13055" width="9.140625" style="38"/>
    <col min="13056" max="13056" width="2.7109375" style="38" customWidth="1"/>
    <col min="13057" max="13061" width="9.140625" style="38"/>
    <col min="13062" max="13062" width="10.7109375" style="38" customWidth="1"/>
    <col min="13063" max="13063" width="9.140625" style="38"/>
    <col min="13064" max="13064" width="10.7109375" style="38" customWidth="1"/>
    <col min="13065" max="13065" width="9.140625" style="38"/>
    <col min="13066" max="13066" width="2.7109375" style="38" customWidth="1"/>
    <col min="13067" max="13311" width="9.140625" style="38"/>
    <col min="13312" max="13312" width="2.7109375" style="38" customWidth="1"/>
    <col min="13313" max="13317" width="9.140625" style="38"/>
    <col min="13318" max="13318" width="10.7109375" style="38" customWidth="1"/>
    <col min="13319" max="13319" width="9.140625" style="38"/>
    <col min="13320" max="13320" width="10.7109375" style="38" customWidth="1"/>
    <col min="13321" max="13321" width="9.140625" style="38"/>
    <col min="13322" max="13322" width="2.7109375" style="38" customWidth="1"/>
    <col min="13323" max="13567" width="9.140625" style="38"/>
    <col min="13568" max="13568" width="2.7109375" style="38" customWidth="1"/>
    <col min="13569" max="13573" width="9.140625" style="38"/>
    <col min="13574" max="13574" width="10.7109375" style="38" customWidth="1"/>
    <col min="13575" max="13575" width="9.140625" style="38"/>
    <col min="13576" max="13576" width="10.7109375" style="38" customWidth="1"/>
    <col min="13577" max="13577" width="9.140625" style="38"/>
    <col min="13578" max="13578" width="2.7109375" style="38" customWidth="1"/>
    <col min="13579" max="13823" width="9.140625" style="38"/>
    <col min="13824" max="13824" width="2.7109375" style="38" customWidth="1"/>
    <col min="13825" max="13829" width="9.140625" style="38"/>
    <col min="13830" max="13830" width="10.7109375" style="38" customWidth="1"/>
    <col min="13831" max="13831" width="9.140625" style="38"/>
    <col min="13832" max="13832" width="10.7109375" style="38" customWidth="1"/>
    <col min="13833" max="13833" width="9.140625" style="38"/>
    <col min="13834" max="13834" width="2.7109375" style="38" customWidth="1"/>
    <col min="13835" max="14079" width="9.140625" style="38"/>
    <col min="14080" max="14080" width="2.7109375" style="38" customWidth="1"/>
    <col min="14081" max="14085" width="9.140625" style="38"/>
    <col min="14086" max="14086" width="10.7109375" style="38" customWidth="1"/>
    <col min="14087" max="14087" width="9.140625" style="38"/>
    <col min="14088" max="14088" width="10.7109375" style="38" customWidth="1"/>
    <col min="14089" max="14089" width="9.140625" style="38"/>
    <col min="14090" max="14090" width="2.7109375" style="38" customWidth="1"/>
    <col min="14091" max="14335" width="9.140625" style="38"/>
    <col min="14336" max="14336" width="2.7109375" style="38" customWidth="1"/>
    <col min="14337" max="14341" width="9.140625" style="38"/>
    <col min="14342" max="14342" width="10.7109375" style="38" customWidth="1"/>
    <col min="14343" max="14343" width="9.140625" style="38"/>
    <col min="14344" max="14344" width="10.7109375" style="38" customWidth="1"/>
    <col min="14345" max="14345" width="9.140625" style="38"/>
    <col min="14346" max="14346" width="2.7109375" style="38" customWidth="1"/>
    <col min="14347" max="14591" width="9.140625" style="38"/>
    <col min="14592" max="14592" width="2.7109375" style="38" customWidth="1"/>
    <col min="14593" max="14597" width="9.140625" style="38"/>
    <col min="14598" max="14598" width="10.7109375" style="38" customWidth="1"/>
    <col min="14599" max="14599" width="9.140625" style="38"/>
    <col min="14600" max="14600" width="10.7109375" style="38" customWidth="1"/>
    <col min="14601" max="14601" width="9.140625" style="38"/>
    <col min="14602" max="14602" width="2.7109375" style="38" customWidth="1"/>
    <col min="14603" max="14847" width="9.140625" style="38"/>
    <col min="14848" max="14848" width="2.7109375" style="38" customWidth="1"/>
    <col min="14849" max="14853" width="9.140625" style="38"/>
    <col min="14854" max="14854" width="10.7109375" style="38" customWidth="1"/>
    <col min="14855" max="14855" width="9.140625" style="38"/>
    <col min="14856" max="14856" width="10.7109375" style="38" customWidth="1"/>
    <col min="14857" max="14857" width="9.140625" style="38"/>
    <col min="14858" max="14858" width="2.7109375" style="38" customWidth="1"/>
    <col min="14859" max="15103" width="9.140625" style="38"/>
    <col min="15104" max="15104" width="2.7109375" style="38" customWidth="1"/>
    <col min="15105" max="15109" width="9.140625" style="38"/>
    <col min="15110" max="15110" width="10.7109375" style="38" customWidth="1"/>
    <col min="15111" max="15111" width="9.140625" style="38"/>
    <col min="15112" max="15112" width="10.7109375" style="38" customWidth="1"/>
    <col min="15113" max="15113" width="9.140625" style="38"/>
    <col min="15114" max="15114" width="2.7109375" style="38" customWidth="1"/>
    <col min="15115" max="15359" width="9.140625" style="38"/>
    <col min="15360" max="15360" width="2.7109375" style="38" customWidth="1"/>
    <col min="15361" max="15365" width="9.140625" style="38"/>
    <col min="15366" max="15366" width="10.7109375" style="38" customWidth="1"/>
    <col min="15367" max="15367" width="9.140625" style="38"/>
    <col min="15368" max="15368" width="10.7109375" style="38" customWidth="1"/>
    <col min="15369" max="15369" width="9.140625" style="38"/>
    <col min="15370" max="15370" width="2.7109375" style="38" customWidth="1"/>
    <col min="15371" max="15615" width="9.140625" style="38"/>
    <col min="15616" max="15616" width="2.7109375" style="38" customWidth="1"/>
    <col min="15617" max="15621" width="9.140625" style="38"/>
    <col min="15622" max="15622" width="10.7109375" style="38" customWidth="1"/>
    <col min="15623" max="15623" width="9.140625" style="38"/>
    <col min="15624" max="15624" width="10.7109375" style="38" customWidth="1"/>
    <col min="15625" max="15625" width="9.140625" style="38"/>
    <col min="15626" max="15626" width="2.7109375" style="38" customWidth="1"/>
    <col min="15627" max="15871" width="9.140625" style="38"/>
    <col min="15872" max="15872" width="2.7109375" style="38" customWidth="1"/>
    <col min="15873" max="15877" width="9.140625" style="38"/>
    <col min="15878" max="15878" width="10.7109375" style="38" customWidth="1"/>
    <col min="15879" max="15879" width="9.140625" style="38"/>
    <col min="15880" max="15880" width="10.7109375" style="38" customWidth="1"/>
    <col min="15881" max="15881" width="9.140625" style="38"/>
    <col min="15882" max="15882" width="2.7109375" style="38" customWidth="1"/>
    <col min="15883" max="16127" width="9.140625" style="38"/>
    <col min="16128" max="16128" width="2.7109375" style="38" customWidth="1"/>
    <col min="16129" max="16133" width="9.140625" style="38"/>
    <col min="16134" max="16134" width="10.7109375" style="38" customWidth="1"/>
    <col min="16135" max="16135" width="9.140625" style="38"/>
    <col min="16136" max="16136" width="10.7109375" style="38" customWidth="1"/>
    <col min="16137" max="16137" width="9.140625" style="38"/>
    <col min="16138" max="16138" width="2.7109375" style="38" customWidth="1"/>
    <col min="16139" max="16384" width="9.140625" style="38"/>
  </cols>
  <sheetData>
    <row r="7" spans="2:9">
      <c r="B7" s="73" t="s">
        <v>51</v>
      </c>
      <c r="C7" s="73"/>
      <c r="D7" s="73"/>
      <c r="E7" s="73"/>
      <c r="F7" s="73"/>
      <c r="G7" s="73"/>
      <c r="H7" s="73"/>
      <c r="I7" s="73"/>
    </row>
    <row r="8" spans="2:9">
      <c r="B8" s="73"/>
      <c r="C8" s="73"/>
      <c r="D8" s="73"/>
      <c r="E8" s="73"/>
      <c r="F8" s="73"/>
      <c r="G8" s="73"/>
      <c r="H8" s="73"/>
      <c r="I8" s="73"/>
    </row>
    <row r="9" spans="2:9" ht="12.75" customHeight="1">
      <c r="B9" s="73"/>
      <c r="C9" s="73"/>
      <c r="D9" s="73"/>
      <c r="E9" s="73"/>
      <c r="F9" s="73"/>
      <c r="G9" s="73"/>
      <c r="H9" s="73"/>
      <c r="I9" s="73"/>
    </row>
    <row r="10" spans="2:9" ht="12.75" customHeight="1">
      <c r="B10" s="74" t="s">
        <v>168</v>
      </c>
      <c r="C10" s="75"/>
      <c r="D10" s="75"/>
      <c r="E10" s="75"/>
      <c r="F10" s="75"/>
      <c r="G10" s="75"/>
      <c r="H10" s="75"/>
      <c r="I10" s="75"/>
    </row>
    <row r="11" spans="2:9" ht="12.75" customHeight="1">
      <c r="B11" s="75"/>
      <c r="C11" s="75"/>
      <c r="D11" s="75"/>
      <c r="E11" s="75"/>
      <c r="F11" s="75"/>
      <c r="G11" s="75"/>
      <c r="H11" s="75"/>
      <c r="I11" s="75"/>
    </row>
    <row r="12" spans="2:9" ht="51" customHeight="1">
      <c r="B12" s="75"/>
      <c r="C12" s="75"/>
      <c r="D12" s="75"/>
      <c r="E12" s="75"/>
      <c r="F12" s="75"/>
      <c r="G12" s="75"/>
      <c r="H12" s="75"/>
      <c r="I12" s="75"/>
    </row>
    <row r="13" spans="2:9" ht="12.75" customHeight="1"/>
    <row r="14" spans="2:9" ht="12.75" customHeight="1"/>
    <row r="15" spans="2:9" ht="12.75" customHeight="1"/>
    <row r="16" spans="2:9" ht="12.75" customHeight="1"/>
    <row r="17" spans="2:9" ht="12.75" customHeight="1"/>
    <row r="21" spans="2:9" s="39" customFormat="1"/>
    <row r="24" spans="2:9" ht="12.75" customHeight="1">
      <c r="B24" s="76" t="s">
        <v>52</v>
      </c>
      <c r="C24" s="76"/>
      <c r="D24" s="76"/>
      <c r="E24" s="77" t="s">
        <v>166</v>
      </c>
      <c r="F24" s="77"/>
      <c r="G24" s="77"/>
      <c r="H24" s="77"/>
      <c r="I24" s="77"/>
    </row>
    <row r="25" spans="2:9" ht="12.75" customHeight="1">
      <c r="B25" s="76"/>
      <c r="C25" s="76"/>
      <c r="D25" s="76"/>
      <c r="E25" s="77"/>
      <c r="F25" s="77"/>
      <c r="G25" s="77"/>
      <c r="H25" s="77"/>
      <c r="I25" s="77"/>
    </row>
    <row r="26" spans="2:9" ht="12.75" customHeight="1">
      <c r="B26" s="76"/>
      <c r="C26" s="76"/>
      <c r="D26" s="76"/>
      <c r="E26" s="77"/>
      <c r="F26" s="77"/>
      <c r="G26" s="77"/>
      <c r="H26" s="77"/>
      <c r="I26" s="77"/>
    </row>
    <row r="27" spans="2:9">
      <c r="B27" s="78" t="s">
        <v>53</v>
      </c>
      <c r="C27" s="78"/>
      <c r="D27" s="78"/>
      <c r="E27" s="79" t="s">
        <v>165</v>
      </c>
      <c r="F27" s="79"/>
      <c r="G27" s="79"/>
      <c r="H27" s="79"/>
      <c r="I27" s="79"/>
    </row>
    <row r="28" spans="2:9">
      <c r="B28" s="78"/>
      <c r="C28" s="78"/>
      <c r="D28" s="78"/>
      <c r="E28" s="79"/>
      <c r="F28" s="79"/>
      <c r="G28" s="79"/>
      <c r="H28" s="79"/>
      <c r="I28" s="79"/>
    </row>
    <row r="29" spans="2:9">
      <c r="B29" s="78"/>
      <c r="C29" s="78"/>
      <c r="D29" s="78"/>
      <c r="E29" s="79"/>
      <c r="F29" s="79"/>
      <c r="G29" s="79"/>
      <c r="H29" s="79"/>
      <c r="I29" s="79"/>
    </row>
    <row r="30" spans="2:9" ht="12.75" customHeight="1">
      <c r="B30" s="71" t="s">
        <v>54</v>
      </c>
      <c r="C30" s="71"/>
      <c r="D30" s="71"/>
      <c r="F30" s="40"/>
      <c r="G30" s="40"/>
      <c r="H30" s="40"/>
      <c r="I30" s="40"/>
    </row>
    <row r="31" spans="2:9" ht="12.75" customHeight="1">
      <c r="B31" s="71"/>
      <c r="C31" s="71"/>
      <c r="D31" s="71"/>
      <c r="E31" s="72" t="s">
        <v>164</v>
      </c>
      <c r="F31" s="72"/>
      <c r="G31" s="72"/>
      <c r="H31" s="72"/>
      <c r="I31" s="72"/>
    </row>
    <row r="32" spans="2:9" ht="12.75" customHeight="1">
      <c r="B32" s="71"/>
      <c r="C32" s="71"/>
      <c r="D32" s="71"/>
      <c r="E32" s="72"/>
      <c r="F32" s="72"/>
      <c r="G32" s="72"/>
      <c r="H32" s="72"/>
      <c r="I32" s="72"/>
    </row>
    <row r="33" spans="1:9" ht="20.25">
      <c r="B33" s="41"/>
      <c r="C33" s="41"/>
      <c r="D33" s="41"/>
      <c r="E33" s="41"/>
      <c r="F33" s="41"/>
      <c r="G33" s="41"/>
      <c r="H33" s="41"/>
      <c r="I33" s="41"/>
    </row>
    <row r="44" spans="1:9" s="43" customFormat="1">
      <c r="A44" s="42"/>
    </row>
    <row r="45" spans="1:9">
      <c r="A45" s="44"/>
      <c r="C45" s="45" t="s">
        <v>55</v>
      </c>
      <c r="D45" s="46" t="s">
        <v>56</v>
      </c>
      <c r="E45" s="47" t="s">
        <v>57</v>
      </c>
      <c r="F45" s="48" t="s">
        <v>58</v>
      </c>
      <c r="G45" s="48" t="s">
        <v>59</v>
      </c>
      <c r="H45" s="49" t="s">
        <v>60</v>
      </c>
    </row>
    <row r="46" spans="1:9">
      <c r="A46" s="44"/>
      <c r="C46" s="50"/>
      <c r="D46" s="51"/>
      <c r="E46" s="52"/>
      <c r="F46" s="53"/>
      <c r="G46" s="53"/>
      <c r="H46" s="53"/>
    </row>
    <row r="47" spans="1:9">
      <c r="A47" s="44"/>
      <c r="C47" s="54"/>
      <c r="D47" s="54"/>
      <c r="E47" s="54"/>
      <c r="F47" s="54"/>
      <c r="G47" s="54"/>
      <c r="H47" s="54"/>
    </row>
    <row r="48" spans="1:9">
      <c r="C48" s="54"/>
      <c r="D48" s="54"/>
      <c r="E48" s="54"/>
      <c r="F48" s="54"/>
      <c r="G48" s="54"/>
      <c r="H48" s="54"/>
    </row>
    <row r="49" spans="3:8">
      <c r="C49" s="54"/>
      <c r="D49" s="54"/>
      <c r="E49" s="54"/>
      <c r="F49" s="54"/>
      <c r="G49" s="54"/>
      <c r="H49" s="54"/>
    </row>
    <row r="50" spans="3:8">
      <c r="C50" s="54"/>
      <c r="D50" s="54"/>
      <c r="E50" s="54"/>
      <c r="F50" s="54"/>
      <c r="G50" s="54"/>
      <c r="H50" s="54"/>
    </row>
    <row r="51" spans="3:8">
      <c r="C51" s="54"/>
      <c r="D51" s="54"/>
      <c r="E51" s="54"/>
      <c r="F51" s="54"/>
      <c r="G51" s="54"/>
      <c r="H51" s="54"/>
    </row>
  </sheetData>
  <mergeCells count="8">
    <mergeCell ref="B30:D32"/>
    <mergeCell ref="E31:I32"/>
    <mergeCell ref="B7:I9"/>
    <mergeCell ref="B10:I12"/>
    <mergeCell ref="B24:D26"/>
    <mergeCell ref="E24:I26"/>
    <mergeCell ref="B27:D29"/>
    <mergeCell ref="E27:I29"/>
  </mergeCells>
  <pageMargins left="0.59055118110236227" right="0.59055118110236227" top="0.98425196850393704" bottom="0.98425196850393704" header="0.39370078740157483" footer="0.39370078740157483"/>
  <pageSetup paperSize="9" scale="96" orientation="portrait" r:id="rId1"/>
  <headerFooter alignWithMargins="0">
    <oddHeader>&amp;C&amp;G</oddHeader>
    <oddFooter>&amp;L&amp;6XP Power Limited&amp;R&amp;6RnD Test Report Rev 2.0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76AB8-4C94-4C24-AB21-692FE3B7F0C2}">
  <dimension ref="A1:T13"/>
  <sheetViews>
    <sheetView zoomScale="91" zoomScaleNormal="91" zoomScaleSheetLayoutView="100" workbookViewId="0">
      <selection activeCell="N22" sqref="N22"/>
    </sheetView>
  </sheetViews>
  <sheetFormatPr defaultColWidth="10" defaultRowHeight="12.75" customHeight="1"/>
  <cols>
    <col min="1" max="1" width="11.85546875" style="8" customWidth="1"/>
    <col min="2" max="2" width="10.28515625" style="8" customWidth="1"/>
    <col min="3" max="3" width="28.5703125" style="8" bestFit="1" customWidth="1"/>
    <col min="4" max="4" width="13.28515625" style="6" bestFit="1" customWidth="1"/>
    <col min="5" max="5" width="21" style="6" customWidth="1"/>
    <col min="6" max="6" width="11.5703125" style="6" customWidth="1"/>
    <col min="7" max="7" width="6.140625" style="6" bestFit="1" customWidth="1"/>
    <col min="8" max="8" width="8.85546875" style="6" customWidth="1"/>
    <col min="9" max="9" width="8.28515625" style="4" customWidth="1"/>
    <col min="10" max="10" width="9.140625" style="4" customWidth="1"/>
    <col min="11" max="11" width="15.42578125" style="6" bestFit="1" customWidth="1"/>
    <col min="12" max="12" width="16.7109375" style="6" bestFit="1" customWidth="1"/>
    <col min="13" max="13" width="6.5703125" style="6" bestFit="1" customWidth="1"/>
    <col min="14" max="14" width="13.7109375" style="6" bestFit="1" customWidth="1"/>
    <col min="15" max="15" width="14.28515625" style="6" bestFit="1" customWidth="1"/>
    <col min="16" max="16" width="17.28515625" style="6" customWidth="1"/>
    <col min="17" max="17" width="7.5703125" style="7" bestFit="1" customWidth="1"/>
    <col min="18" max="18" width="47.85546875" style="8" customWidth="1"/>
    <col min="19" max="19" width="9.28515625" style="8" bestFit="1" customWidth="1"/>
    <col min="20" max="20" width="28.85546875" style="8" bestFit="1" customWidth="1"/>
    <col min="21" max="16384" width="10" style="8"/>
  </cols>
  <sheetData>
    <row r="1" spans="1:20" ht="17.25" customHeight="1">
      <c r="A1" s="1" t="s">
        <v>0</v>
      </c>
      <c r="B1" s="1"/>
      <c r="C1" s="1"/>
      <c r="D1" s="2"/>
      <c r="E1" s="1" t="s">
        <v>1</v>
      </c>
      <c r="F1" s="1"/>
      <c r="G1" s="3"/>
      <c r="H1" s="3"/>
      <c r="I1" s="3"/>
      <c r="J1" s="3"/>
      <c r="K1" s="4"/>
      <c r="L1" s="3"/>
      <c r="M1" s="5"/>
      <c r="N1" s="5"/>
      <c r="O1" s="5"/>
      <c r="P1" s="3"/>
      <c r="Q1" s="6"/>
      <c r="R1"/>
      <c r="S1"/>
    </row>
    <row r="2" spans="1:20" ht="17.25" customHeight="1">
      <c r="A2" s="1"/>
      <c r="B2" s="1"/>
      <c r="C2" s="1"/>
      <c r="D2" s="2"/>
      <c r="E2" s="3"/>
      <c r="F2" s="3"/>
      <c r="G2" s="3"/>
      <c r="H2" s="3"/>
      <c r="I2" s="3"/>
      <c r="J2" s="3"/>
      <c r="K2" s="4"/>
      <c r="L2" s="9" t="s">
        <v>2</v>
      </c>
      <c r="M2" s="9" t="s">
        <v>3</v>
      </c>
      <c r="N2" s="9" t="s">
        <v>4</v>
      </c>
      <c r="O2" s="9" t="s">
        <v>5</v>
      </c>
      <c r="P2" s="10" t="s">
        <v>6</v>
      </c>
      <c r="Q2" s="3"/>
      <c r="R2" s="7"/>
      <c r="S2"/>
      <c r="T2"/>
    </row>
    <row r="3" spans="1:20" ht="15.75">
      <c r="A3" s="11"/>
      <c r="B3" s="11"/>
      <c r="C3" s="12" t="s">
        <v>166</v>
      </c>
      <c r="D3" s="8"/>
      <c r="G3" s="13" t="s">
        <v>167</v>
      </c>
      <c r="H3" s="13"/>
      <c r="I3" s="13"/>
      <c r="J3" s="13"/>
      <c r="K3" s="4"/>
      <c r="L3" s="14" t="s">
        <v>7</v>
      </c>
      <c r="M3" s="14" t="s">
        <v>8</v>
      </c>
      <c r="N3" s="14"/>
      <c r="O3" s="14"/>
      <c r="P3" s="15"/>
      <c r="Q3" s="16"/>
      <c r="R3" s="7"/>
      <c r="S3"/>
      <c r="T3"/>
    </row>
    <row r="4" spans="1:20" ht="15">
      <c r="D4" s="17"/>
      <c r="E4" s="17"/>
      <c r="F4" s="17"/>
      <c r="G4" s="17"/>
      <c r="H4" s="17"/>
      <c r="I4" s="17"/>
      <c r="J4" s="17"/>
      <c r="K4" s="4"/>
      <c r="L4" s="10" t="s">
        <v>9</v>
      </c>
      <c r="M4" s="10"/>
      <c r="N4" s="10"/>
      <c r="O4" s="10"/>
      <c r="P4" s="18"/>
      <c r="Q4" s="17"/>
      <c r="R4" s="7"/>
      <c r="S4"/>
      <c r="T4"/>
    </row>
    <row r="5" spans="1:20" ht="15">
      <c r="D5" s="17"/>
      <c r="E5" s="17"/>
      <c r="F5" s="17"/>
      <c r="G5" s="17"/>
      <c r="H5" s="17"/>
      <c r="I5" s="17"/>
      <c r="J5" s="17"/>
      <c r="K5" s="4"/>
      <c r="L5" s="10" t="s">
        <v>10</v>
      </c>
      <c r="M5" s="10"/>
      <c r="N5" s="10"/>
      <c r="O5" s="10"/>
      <c r="P5" s="18"/>
      <c r="Q5" s="17"/>
      <c r="R5" s="7"/>
      <c r="S5"/>
      <c r="T5"/>
    </row>
    <row r="6" spans="1:20" ht="15">
      <c r="D6" s="17"/>
      <c r="E6" s="17"/>
      <c r="F6" s="17"/>
      <c r="G6" s="17"/>
      <c r="H6" s="17"/>
      <c r="I6" s="17"/>
      <c r="J6" s="17"/>
      <c r="K6" s="4"/>
      <c r="L6" s="10" t="s">
        <v>11</v>
      </c>
      <c r="N6" s="10"/>
      <c r="O6" s="10"/>
      <c r="P6" s="18"/>
      <c r="Q6" s="17"/>
      <c r="R6" s="7"/>
      <c r="S6"/>
      <c r="T6"/>
    </row>
    <row r="7" spans="1:20" ht="15">
      <c r="D7" s="17"/>
      <c r="E7" s="17"/>
      <c r="F7" s="17"/>
      <c r="G7" s="17"/>
      <c r="H7" s="17"/>
      <c r="I7" s="17"/>
      <c r="J7" s="17"/>
      <c r="K7" s="4"/>
      <c r="L7" s="10" t="s">
        <v>12</v>
      </c>
      <c r="M7" s="10"/>
      <c r="N7" s="10"/>
      <c r="O7" s="10"/>
      <c r="P7" s="18"/>
      <c r="Q7" s="17"/>
      <c r="R7" s="7"/>
      <c r="S7"/>
      <c r="T7"/>
    </row>
    <row r="8" spans="1:20" ht="15">
      <c r="D8" s="17"/>
      <c r="E8" s="17"/>
      <c r="F8" s="17"/>
      <c r="G8" s="17"/>
      <c r="H8" s="17"/>
      <c r="I8" s="17"/>
      <c r="J8" s="17"/>
      <c r="K8" s="4"/>
      <c r="L8" s="10" t="s">
        <v>13</v>
      </c>
      <c r="M8" s="10"/>
      <c r="N8" s="10"/>
      <c r="O8" s="10"/>
      <c r="P8" s="7"/>
      <c r="Q8" s="17"/>
      <c r="R8" s="7"/>
      <c r="S8"/>
      <c r="T8"/>
    </row>
    <row r="9" spans="1:20" ht="15">
      <c r="D9" s="17"/>
      <c r="E9" s="17"/>
      <c r="F9" s="17"/>
      <c r="G9" s="17"/>
      <c r="H9" s="17"/>
      <c r="I9" s="17"/>
      <c r="J9" s="17"/>
      <c r="K9" s="4"/>
      <c r="L9" s="19" t="s">
        <v>14</v>
      </c>
      <c r="M9" s="10"/>
      <c r="N9" s="10"/>
      <c r="O9" s="10"/>
      <c r="P9" s="18"/>
      <c r="Q9" s="17"/>
      <c r="R9" s="7"/>
      <c r="S9"/>
      <c r="T9"/>
    </row>
    <row r="10" spans="1:20" s="68" customFormat="1">
      <c r="A10" s="20"/>
      <c r="B10" s="20"/>
      <c r="C10" s="20"/>
      <c r="D10" s="21"/>
      <c r="E10" s="22"/>
      <c r="F10" s="22"/>
      <c r="G10" s="22"/>
      <c r="H10" s="22"/>
      <c r="I10" s="4"/>
      <c r="J10" s="4"/>
      <c r="K10" s="22"/>
      <c r="L10" s="22"/>
      <c r="M10" s="22"/>
      <c r="N10" s="22"/>
      <c r="O10" s="22"/>
      <c r="P10" s="22"/>
      <c r="Q10" s="23"/>
      <c r="R10" s="24"/>
    </row>
    <row r="11" spans="1:20" s="68" customFormat="1" ht="25.5" customHeight="1">
      <c r="A11" s="80" t="s">
        <v>15</v>
      </c>
      <c r="B11" s="80"/>
      <c r="C11" s="81"/>
      <c r="D11" s="82" t="s">
        <v>16</v>
      </c>
      <c r="E11" s="83"/>
      <c r="F11" s="83"/>
      <c r="G11" s="83"/>
      <c r="H11" s="83"/>
      <c r="I11" s="83"/>
      <c r="J11" s="83"/>
      <c r="K11" s="84"/>
      <c r="L11" s="85" t="s">
        <v>17</v>
      </c>
      <c r="M11" s="85"/>
      <c r="N11" s="85"/>
      <c r="O11" s="85"/>
      <c r="P11" s="86" t="s">
        <v>18</v>
      </c>
      <c r="Q11" s="86"/>
      <c r="R11" s="86"/>
    </row>
    <row r="12" spans="1:20" s="69" customFormat="1" ht="25.5">
      <c r="A12" s="27" t="s">
        <v>19</v>
      </c>
      <c r="B12" s="27" t="s">
        <v>20</v>
      </c>
      <c r="C12" s="28" t="s">
        <v>21</v>
      </c>
      <c r="D12" s="29" t="s">
        <v>22</v>
      </c>
      <c r="E12" s="29" t="s">
        <v>146</v>
      </c>
      <c r="F12" s="29" t="s">
        <v>163</v>
      </c>
      <c r="G12" s="29" t="s">
        <v>142</v>
      </c>
      <c r="H12" s="29" t="s">
        <v>127</v>
      </c>
      <c r="I12" s="34" t="s">
        <v>141</v>
      </c>
      <c r="J12" s="26" t="s">
        <v>128</v>
      </c>
      <c r="K12" s="26" t="s">
        <v>23</v>
      </c>
      <c r="L12" s="25" t="s">
        <v>2</v>
      </c>
      <c r="M12" s="25" t="s">
        <v>3</v>
      </c>
      <c r="N12" s="25" t="s">
        <v>4</v>
      </c>
      <c r="O12" s="25" t="s">
        <v>5</v>
      </c>
      <c r="P12" s="30" t="s">
        <v>24</v>
      </c>
      <c r="Q12" s="31" t="s">
        <v>25</v>
      </c>
      <c r="R12" s="59" t="s">
        <v>145</v>
      </c>
    </row>
    <row r="13" spans="1:20" s="69" customFormat="1">
      <c r="A13" s="32" t="str">
        <f>_xlfn.XLOOKUP(SummaryTable[[#This Row],[OMS]], TestLookup[OMS], TestLookup[DVT], "")</f>
        <v/>
      </c>
      <c r="B13" s="32" t="str">
        <f>_xlfn.XLOOKUP(SummaryTable[[#This Row],[Test Item]], TestLookup[ITEMS], TestLookup[OMS], "")</f>
        <v/>
      </c>
      <c r="C13" s="32"/>
      <c r="D13" s="33"/>
      <c r="E13" s="33"/>
      <c r="F13" s="33"/>
      <c r="G13" s="33"/>
      <c r="H13" s="33" t="str">
        <f>_xlfn.XLOOKUP(SummaryTable[[#This Row],[Test Item]], TestLookup[ITEMS], TestLookup[Qualifier], "")</f>
        <v/>
      </c>
      <c r="I13" s="57">
        <v>90</v>
      </c>
      <c r="J13" s="34" t="str">
        <f>_xlfn.XLOOKUP(SummaryTable[[#This Row],[Test Item]], TestLookup[ITEMS], TestLookup[Unit], "")</f>
        <v/>
      </c>
      <c r="K13" s="34" t="str" cm="1">
        <f t="array" ref="K13">_xlfn.LET(_xlpm.q,SummaryTable[[#This Row],[Qualifier]],_xlpm.v,TRIM(SummaryTable[[#This Row],[Q.Value]]&amp;""),_xlpm.u,SummaryTable[[#This Row],[Unit]],IF(OR(_xlpm.v="",_xlpm.v="None",_xlpm.v="-"),"No Spec",IF(_xlpm.v="TBA","TBA",_xlfn.LET(_xlpm.x,TRIM(_xlfn.TEXTSPLIT(_xlpm.v,",")),_xlpm.s,IF(OR(_xlpm.u="",_xlpm.u="None"),""," "&amp;TRIM(_xlpm.u)),IF(OR(_xlpm.q="≤",_xlpm.q="≥"),_xlpm.q&amp;" "&amp;_xlpm.v&amp;_xlpm.s,IF(_xlpm.q="±",IF(COLUMNS(_xlpm.x)=1,"±"&amp;_xlpm.v&amp;_xlpm.s,_xlfn.TEXTJOIN(" to ",TRUE,VALUE(_xlpm.x))&amp;_xlpm.s),""))))))</f>
        <v/>
      </c>
      <c r="L13" s="35"/>
      <c r="M13" s="35" t="e">
        <f>_xlfn.XLOOKUP(SummaryTable[[#This Row],[Slot / Chassis]],SlotLookupTable[Slot / Chassis],SlotLookupTable[Model])</f>
        <v>#N/A</v>
      </c>
      <c r="N13" s="35" t="e">
        <f>_xlfn.XLOOKUP(SummaryTable[[#This Row],[Slot / Chassis]],SlotLookupTable[Slot / Chassis],SlotLookupTable[Firmware])</f>
        <v>#N/A</v>
      </c>
      <c r="O13" s="36" t="e">
        <f>_xlfn.XLOOKUP(SummaryTable[[#This Row],[Slot / Chassis]],SlotLookupTable[Slot / Chassis],SlotLookupTable[Serial Number])</f>
        <v>#N/A</v>
      </c>
      <c r="P13" s="37"/>
      <c r="Q13" s="36" t="str" cm="1">
        <f t="array" ref="Q13">_xlfn.LET(_xlpm.s,SummaryTable[[#This Row],[Specification]],_xlpm.v,SummaryTable[[#This Row],[Value]],_xlpm.q,SummaryTable[[#This Row],[Qualifier]],_xlpm.r,TRIM(SummaryTable[[#This Row],[Q.Value]]&amp;""),_xlpm.u,TRIM(SummaryTable[[#This Row],[Unit]]&amp;""),_xlpm.z,TRIM(_xlpm.v&amp;""),_xlpm.p,IFERROR(SEARCH("/",_xlpm.z),0),_xlpm.isPair,AND(_xlpm.p&gt;0,ISNUMBER(SEARCH("%",_xlpm.z))),_xlpm.a,IFERROR(VALUE(SUBSTITUTE(LEFT(_xlpm.z,_xlpm.p-1),"%","")),NA()),_xlpm.b,IFERROR(VALUE(SUBSTITUTE(MID(_xlpm.z,_xlpm.p+1,LEN(_xlpm.z)),"%","")),NA()),_xlpm.n,IFERROR(IF(ISNUMBER(_xlpm.v),IF(OR(LEFT(_xlpm.u,1)="%",ISNUMBER(SEARCH("%",_xlpm.u))),_xlpm.v*100,_xlpm.v),IF(RIGHT(_xlpm.z,2)="ms",VALUE(LEFT(_xlpm.z,LEN(_xlpm.z)-2))/1000,IF(RIGHT(_xlpm.z,1)="s",VALUE(LEFT(_xlpm.z,LEN(_xlpm.z)-1)),VALUE(SUBSTITUTE(_xlpm.z,"%",""))))),NA()),_xlpm.x,TRIM(_xlfn.TEXTSPLIT(_xlpm.r,",")),_xlpm.tx,IFERROR(IF(RIGHT(TRIM(_xlpm.x),2)="ms",VALUE(LEFT(TRIM(_xlpm.x),LEN(TRIM(_xlpm.x))-2))/1000,IF(RIGHT(TRIM(_xlpm.x),1)="s",VALUE(LEFT(TRIM(_xlpm.x),LEN(TRIM(_xlpm.x))-1)),VALUE(SUBSTITUTE(TRIM(_xlpm.x),"%",""))/IF(_xlpm.u="ms",1000,1))),NA()),_xlpm.t,IFERROR(IF(RIGHT(_xlpm.r,2)="ms",VALUE(LEFT(_xlpm.r,LEN(_xlpm.r)-2))/1000,IF(RIGHT(_xlpm.r,1)="s",VALUE(LEFT(_xlpm.r,LEN(_xlpm.r)-1)),VALUE(SUBSTITUTE(_xlpm.r,"%",""))/IF(_xlpm.u="ms",1000,1))),NA()),IF(OR(_xlpm.s="",_xlpm.s="TBA",_xlpm.s="No Spec"),"N/A",IF(_xlpm.v="","ERROR",IFERROR(IF(_xlpm.isPair,IF(_xlpm.q="±",IF(AND(_xlpm.a&gt;=-ABS(_xlpm.t),_xlpm.a&lt;=ABS(_xlpm.t),_xlpm.b&gt;=-ABS(_xlpm.t),_xlpm.b&lt;=ABS(_xlpm.t)),"PASS","FAIL"),"N/A"),IF(_xlpm.q="≤",IF(_xlpm.n&lt;=_xlpm.t,"PASS","FAIL"),IF(_xlpm.q="≥",IF(_xlpm.n&gt;=_xlpm.t,"PASS","FAIL"),IF(_xlpm.q="±",IF(COLUMNS(_xlpm.x)=1,IF(ABS(_xlpm.n)&lt;=ABS(INDEX(_xlpm.tx,1)),"PASS","FAIL"),IF(AND(_xlpm.n&gt;=MIN(_xlpm.tx),_xlpm.n&lt;=MAX(_xlpm.tx)),"PASS","FAIL")),"N/A")))),"N/A"))))</f>
        <v>N/A</v>
      </c>
      <c r="R13" s="70"/>
    </row>
  </sheetData>
  <mergeCells count="4">
    <mergeCell ref="A11:C11"/>
    <mergeCell ref="D11:K11"/>
    <mergeCell ref="L11:O11"/>
    <mergeCell ref="P11:R11"/>
  </mergeCells>
  <phoneticPr fontId="18" type="noConversion"/>
  <conditionalFormatting sqref="I13 K13 Q13">
    <cfRule type="cellIs" dxfId="6" priority="16" operator="equal">
      <formula>"TBA"</formula>
    </cfRule>
  </conditionalFormatting>
  <conditionalFormatting sqref="K13">
    <cfRule type="containsText" dxfId="5" priority="21" operator="containsText" text="No Spec">
      <formula>NOT(ISERROR(SEARCH("No Spec",K13)))</formula>
    </cfRule>
  </conditionalFormatting>
  <conditionalFormatting sqref="L13:O13">
    <cfRule type="containsErrors" dxfId="4" priority="23">
      <formula>ISERROR(L13)</formula>
    </cfRule>
  </conditionalFormatting>
  <conditionalFormatting sqref="Q13">
    <cfRule type="containsText" dxfId="3" priority="17" operator="containsText" text="Pass">
      <formula>NOT(ISERROR(SEARCH("Pass",Q13)))</formula>
    </cfRule>
    <cfRule type="containsText" dxfId="2" priority="18" operator="containsText" text="Fail">
      <formula>NOT(ISERROR(SEARCH("Fail",Q13)))</formula>
    </cfRule>
  </conditionalFormatting>
  <dataValidations count="1">
    <dataValidation type="list" allowBlank="1" showInputMessage="1" showErrorMessage="1" sqref="L13" xr:uid="{CFDD98E9-842B-472F-85F8-237FE69678E8}">
      <formula1>SlotLookup</formula1>
    </dataValidation>
  </dataValidations>
  <printOptions horizontalCentered="1" gridLines="1"/>
  <pageMargins left="0.23622047244094491" right="0.23622047244094491" top="0.74803149606299213" bottom="0.74803149606299213" header="0.31496062992125984" footer="0.31496062992125984"/>
  <pageSetup paperSize="9" scale="52" fitToWidth="0" fitToHeight="0" orientation="landscape" r:id="rId1"/>
  <headerFooter alignWithMargins="0">
    <oddHeader>&amp;C&amp;24Auto-DVT Test Summary</oddHeader>
  </headerFooter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A378B0-349F-47B4-9C66-D775B12D4A5C}">
          <x14:formula1>
            <xm:f>Lookup!$D$3:$D$44</xm:f>
          </x14:formula1>
          <xm:sqref>C13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EAAB4-113B-4A89-9C81-73618FEE031D}">
  <dimension ref="B2:J44"/>
  <sheetViews>
    <sheetView workbookViewId="0"/>
  </sheetViews>
  <sheetFormatPr defaultRowHeight="15"/>
  <cols>
    <col min="2" max="2" width="12.7109375" customWidth="1"/>
    <col min="3" max="3" width="15.28515625" customWidth="1"/>
    <col min="4" max="4" width="31.140625" customWidth="1"/>
    <col min="5" max="6" width="8.85546875" style="10" bestFit="1" customWidth="1"/>
    <col min="8" max="8" width="8.85546875" style="10" bestFit="1" customWidth="1"/>
    <col min="9" max="9" width="10.42578125" customWidth="1"/>
    <col min="10" max="10" width="10.28515625" customWidth="1"/>
    <col min="11" max="11" width="18.7109375" bestFit="1" customWidth="1"/>
    <col min="12" max="12" width="10.85546875" customWidth="1"/>
    <col min="13" max="13" width="12.28515625" customWidth="1"/>
  </cols>
  <sheetData>
    <row r="2" spans="2:10" ht="15.75" thickBot="1">
      <c r="B2" s="55" t="s">
        <v>19</v>
      </c>
      <c r="C2" s="55" t="s">
        <v>20</v>
      </c>
      <c r="D2" s="55" t="s">
        <v>62</v>
      </c>
      <c r="E2" s="61" t="s">
        <v>127</v>
      </c>
      <c r="F2" s="61" t="s">
        <v>128</v>
      </c>
      <c r="H2" s="56" t="s">
        <v>127</v>
      </c>
      <c r="J2" s="56" t="s">
        <v>128</v>
      </c>
    </row>
    <row r="3" spans="2:10">
      <c r="B3" s="58" t="s">
        <v>63</v>
      </c>
      <c r="C3" s="58" t="s">
        <v>64</v>
      </c>
      <c r="D3" s="58" t="s">
        <v>26</v>
      </c>
      <c r="E3" s="60" t="s">
        <v>138</v>
      </c>
      <c r="F3" s="67" t="s">
        <v>131</v>
      </c>
      <c r="H3" s="62" t="s">
        <v>138</v>
      </c>
      <c r="J3" s="66" t="s">
        <v>129</v>
      </c>
    </row>
    <row r="4" spans="2:10">
      <c r="B4" s="58" t="s">
        <v>65</v>
      </c>
      <c r="C4" s="58" t="s">
        <v>66</v>
      </c>
      <c r="D4" s="58" t="s">
        <v>27</v>
      </c>
      <c r="E4" s="60" t="s">
        <v>138</v>
      </c>
      <c r="F4" s="67" t="s">
        <v>131</v>
      </c>
      <c r="H4" s="63" t="s">
        <v>139</v>
      </c>
      <c r="J4" s="66" t="s">
        <v>130</v>
      </c>
    </row>
    <row r="5" spans="2:10">
      <c r="B5" s="58" t="s">
        <v>67</v>
      </c>
      <c r="C5" s="58" t="s">
        <v>68</v>
      </c>
      <c r="D5" s="58" t="s">
        <v>28</v>
      </c>
      <c r="E5" s="60" t="s">
        <v>138</v>
      </c>
      <c r="F5" s="67" t="s">
        <v>143</v>
      </c>
      <c r="H5" s="64" t="s">
        <v>140</v>
      </c>
      <c r="J5" s="66" t="s">
        <v>132</v>
      </c>
    </row>
    <row r="6" spans="2:10" ht="18">
      <c r="B6" s="58" t="s">
        <v>69</v>
      </c>
      <c r="C6" s="58" t="s">
        <v>70</v>
      </c>
      <c r="D6" s="58" t="s">
        <v>29</v>
      </c>
      <c r="E6" s="60" t="s">
        <v>138</v>
      </c>
      <c r="F6" s="67" t="s">
        <v>134</v>
      </c>
      <c r="H6" s="65" t="s">
        <v>129</v>
      </c>
      <c r="J6" s="66" t="s">
        <v>160</v>
      </c>
    </row>
    <row r="7" spans="2:10" ht="18">
      <c r="B7" s="58" t="s">
        <v>71</v>
      </c>
      <c r="C7" s="58" t="s">
        <v>72</v>
      </c>
      <c r="D7" s="58" t="s">
        <v>73</v>
      </c>
      <c r="E7" s="60" t="s">
        <v>129</v>
      </c>
      <c r="F7" s="67" t="s">
        <v>134</v>
      </c>
      <c r="H7" s="10" t="s">
        <v>144</v>
      </c>
      <c r="J7" s="66" t="s">
        <v>161</v>
      </c>
    </row>
    <row r="8" spans="2:10">
      <c r="B8" s="58" t="s">
        <v>74</v>
      </c>
      <c r="C8" s="58" t="s">
        <v>75</v>
      </c>
      <c r="D8" s="58" t="s">
        <v>30</v>
      </c>
      <c r="E8" s="60" t="s">
        <v>138</v>
      </c>
      <c r="F8" s="66" t="s">
        <v>154</v>
      </c>
      <c r="J8" s="66" t="s">
        <v>149</v>
      </c>
    </row>
    <row r="9" spans="2:10" ht="18">
      <c r="B9" s="58" t="s">
        <v>76</v>
      </c>
      <c r="C9" s="58" t="s">
        <v>77</v>
      </c>
      <c r="D9" s="58" t="s">
        <v>31</v>
      </c>
      <c r="E9" s="60" t="s">
        <v>129</v>
      </c>
      <c r="F9" s="67" t="s">
        <v>129</v>
      </c>
      <c r="J9" s="66" t="s">
        <v>156</v>
      </c>
    </row>
    <row r="10" spans="2:10" ht="18">
      <c r="B10" s="58" t="s">
        <v>78</v>
      </c>
      <c r="C10" s="58" t="s">
        <v>79</v>
      </c>
      <c r="D10" s="58" t="s">
        <v>80</v>
      </c>
      <c r="E10" s="60" t="s">
        <v>129</v>
      </c>
      <c r="F10" s="67" t="s">
        <v>129</v>
      </c>
      <c r="J10" s="66" t="s">
        <v>155</v>
      </c>
    </row>
    <row r="11" spans="2:10" ht="15.75">
      <c r="B11" s="58" t="s">
        <v>81</v>
      </c>
      <c r="C11" s="58" t="s">
        <v>82</v>
      </c>
      <c r="D11" s="58" t="s">
        <v>147</v>
      </c>
      <c r="E11" s="60" t="s">
        <v>138</v>
      </c>
      <c r="F11" s="67" t="s">
        <v>162</v>
      </c>
      <c r="J11" s="66" t="s">
        <v>61</v>
      </c>
    </row>
    <row r="12" spans="2:10">
      <c r="B12" s="58" t="s">
        <v>81</v>
      </c>
      <c r="C12" s="58" t="s">
        <v>82</v>
      </c>
      <c r="D12" s="58" t="s">
        <v>148</v>
      </c>
      <c r="E12" s="60" t="s">
        <v>138</v>
      </c>
      <c r="F12" s="67" t="s">
        <v>150</v>
      </c>
      <c r="J12" s="66" t="s">
        <v>133</v>
      </c>
    </row>
    <row r="13" spans="2:10" ht="18">
      <c r="B13" s="58" t="s">
        <v>83</v>
      </c>
      <c r="C13" s="58" t="s">
        <v>84</v>
      </c>
      <c r="D13" s="58" t="s">
        <v>35</v>
      </c>
      <c r="E13" s="60" t="s">
        <v>138</v>
      </c>
      <c r="F13" s="67" t="s">
        <v>137</v>
      </c>
      <c r="J13" s="66" t="s">
        <v>158</v>
      </c>
    </row>
    <row r="14" spans="2:10" ht="18">
      <c r="B14" s="58" t="s">
        <v>85</v>
      </c>
      <c r="C14" s="58" t="s">
        <v>86</v>
      </c>
      <c r="D14" s="58" t="s">
        <v>36</v>
      </c>
      <c r="E14" s="60" t="s">
        <v>138</v>
      </c>
      <c r="F14" s="67" t="s">
        <v>136</v>
      </c>
      <c r="J14" s="66" t="s">
        <v>159</v>
      </c>
    </row>
    <row r="15" spans="2:10" ht="18">
      <c r="B15" s="58" t="s">
        <v>87</v>
      </c>
      <c r="C15" s="58" t="s">
        <v>88</v>
      </c>
      <c r="D15" s="58" t="s">
        <v>37</v>
      </c>
      <c r="E15" s="60" t="s">
        <v>139</v>
      </c>
      <c r="F15" s="67" t="s">
        <v>136</v>
      </c>
      <c r="J15" s="66" t="s">
        <v>157</v>
      </c>
    </row>
    <row r="16" spans="2:10">
      <c r="B16" s="58" t="s">
        <v>89</v>
      </c>
      <c r="C16" s="58" t="s">
        <v>90</v>
      </c>
      <c r="D16" s="58" t="s">
        <v>39</v>
      </c>
      <c r="E16" s="60" t="s">
        <v>138</v>
      </c>
      <c r="F16" s="67" t="s">
        <v>149</v>
      </c>
      <c r="J16" s="66" t="s">
        <v>151</v>
      </c>
    </row>
    <row r="17" spans="2:10">
      <c r="B17" s="58" t="s">
        <v>91</v>
      </c>
      <c r="C17" s="58" t="s">
        <v>92</v>
      </c>
      <c r="D17" s="58" t="s">
        <v>32</v>
      </c>
      <c r="E17" s="60" t="s">
        <v>138</v>
      </c>
      <c r="F17" s="67" t="s">
        <v>130</v>
      </c>
      <c r="J17" s="66" t="s">
        <v>134</v>
      </c>
    </row>
    <row r="18" spans="2:10">
      <c r="B18" s="58" t="s">
        <v>93</v>
      </c>
      <c r="C18" s="58" t="s">
        <v>94</v>
      </c>
      <c r="D18" s="58" t="s">
        <v>95</v>
      </c>
      <c r="E18" s="60" t="s">
        <v>138</v>
      </c>
      <c r="F18" s="67" t="s">
        <v>130</v>
      </c>
      <c r="J18" s="66" t="s">
        <v>135</v>
      </c>
    </row>
    <row r="19" spans="2:10">
      <c r="B19" s="58" t="s">
        <v>96</v>
      </c>
      <c r="C19" s="58" t="s">
        <v>97</v>
      </c>
      <c r="D19" s="58" t="s">
        <v>33</v>
      </c>
      <c r="E19" s="60" t="s">
        <v>140</v>
      </c>
      <c r="F19" s="67" t="s">
        <v>130</v>
      </c>
      <c r="J19" s="66" t="s">
        <v>137</v>
      </c>
    </row>
    <row r="20" spans="2:10">
      <c r="B20" s="58" t="s">
        <v>98</v>
      </c>
      <c r="C20" s="58" t="s">
        <v>99</v>
      </c>
      <c r="D20" s="58" t="s">
        <v>34</v>
      </c>
      <c r="E20" s="60" t="s">
        <v>140</v>
      </c>
      <c r="F20" s="67" t="s">
        <v>130</v>
      </c>
      <c r="J20" s="66" t="s">
        <v>136</v>
      </c>
    </row>
    <row r="21" spans="2:10">
      <c r="B21" s="58" t="s">
        <v>100</v>
      </c>
      <c r="C21" s="58" t="s">
        <v>101</v>
      </c>
      <c r="D21" s="58" t="s">
        <v>40</v>
      </c>
      <c r="E21" s="60" t="s">
        <v>140</v>
      </c>
      <c r="F21" s="67" t="s">
        <v>151</v>
      </c>
    </row>
    <row r="22" spans="2:10">
      <c r="B22" s="58" t="s">
        <v>102</v>
      </c>
      <c r="C22" s="58" t="s">
        <v>103</v>
      </c>
      <c r="D22" s="58" t="s">
        <v>41</v>
      </c>
      <c r="E22" s="60" t="s">
        <v>140</v>
      </c>
      <c r="F22" s="67" t="s">
        <v>149</v>
      </c>
    </row>
    <row r="23" spans="2:10">
      <c r="B23" s="58" t="s">
        <v>104</v>
      </c>
      <c r="C23" s="58" t="s">
        <v>105</v>
      </c>
      <c r="D23" s="58" t="s">
        <v>46</v>
      </c>
      <c r="E23" s="60" t="s">
        <v>140</v>
      </c>
      <c r="F23" s="67" t="s">
        <v>149</v>
      </c>
    </row>
    <row r="24" spans="2:10">
      <c r="B24" s="58" t="s">
        <v>106</v>
      </c>
      <c r="C24" s="58" t="s">
        <v>107</v>
      </c>
      <c r="D24" s="58" t="s">
        <v>108</v>
      </c>
      <c r="E24" s="60" t="s">
        <v>144</v>
      </c>
      <c r="F24" s="67"/>
    </row>
    <row r="25" spans="2:10">
      <c r="B25" s="58" t="s">
        <v>109</v>
      </c>
      <c r="C25" s="58" t="s">
        <v>110</v>
      </c>
      <c r="D25" s="58" t="s">
        <v>111</v>
      </c>
      <c r="E25" s="60" t="s">
        <v>144</v>
      </c>
      <c r="F25" s="67"/>
    </row>
    <row r="26" spans="2:10">
      <c r="B26" s="58" t="s">
        <v>112</v>
      </c>
      <c r="C26" s="58" t="s">
        <v>113</v>
      </c>
      <c r="D26" s="58" t="s">
        <v>114</v>
      </c>
      <c r="E26" s="60" t="s">
        <v>140</v>
      </c>
      <c r="F26" s="67" t="s">
        <v>130</v>
      </c>
    </row>
    <row r="27" spans="2:10">
      <c r="B27" s="58" t="s">
        <v>115</v>
      </c>
      <c r="C27" s="58" t="s">
        <v>116</v>
      </c>
      <c r="D27" s="58" t="s">
        <v>117</v>
      </c>
      <c r="E27" s="60" t="s">
        <v>144</v>
      </c>
      <c r="F27" s="67"/>
    </row>
    <row r="28" spans="2:10">
      <c r="B28" s="58"/>
      <c r="C28" s="58" t="s">
        <v>118</v>
      </c>
      <c r="D28" s="58" t="s">
        <v>42</v>
      </c>
      <c r="E28" s="60" t="s">
        <v>138</v>
      </c>
      <c r="F28" s="67" t="s">
        <v>136</v>
      </c>
    </row>
    <row r="29" spans="2:10">
      <c r="B29" s="58"/>
      <c r="C29" s="58" t="s">
        <v>118</v>
      </c>
      <c r="D29" s="58" t="s">
        <v>43</v>
      </c>
      <c r="E29" s="60" t="s">
        <v>138</v>
      </c>
      <c r="F29" s="67" t="s">
        <v>136</v>
      </c>
    </row>
    <row r="30" spans="2:10">
      <c r="B30" s="58"/>
      <c r="C30" s="58" t="s">
        <v>119</v>
      </c>
      <c r="D30" s="58" t="s">
        <v>44</v>
      </c>
      <c r="E30" s="60" t="s">
        <v>138</v>
      </c>
      <c r="F30" s="67" t="s">
        <v>136</v>
      </c>
    </row>
    <row r="31" spans="2:10">
      <c r="B31" s="58"/>
      <c r="C31" s="58" t="s">
        <v>119</v>
      </c>
      <c r="D31" s="58" t="s">
        <v>45</v>
      </c>
      <c r="E31" s="60" t="s">
        <v>138</v>
      </c>
      <c r="F31" s="67" t="s">
        <v>136</v>
      </c>
    </row>
    <row r="32" spans="2:10">
      <c r="B32" s="58"/>
      <c r="C32" s="58" t="s">
        <v>119</v>
      </c>
      <c r="D32" s="58" t="s">
        <v>152</v>
      </c>
      <c r="E32" s="60" t="s">
        <v>138</v>
      </c>
      <c r="F32" s="67" t="s">
        <v>136</v>
      </c>
    </row>
    <row r="33" spans="2:6">
      <c r="B33" s="58"/>
      <c r="C33" s="58" t="s">
        <v>119</v>
      </c>
      <c r="D33" s="58" t="s">
        <v>153</v>
      </c>
      <c r="E33" s="60" t="s">
        <v>138</v>
      </c>
      <c r="F33" s="67" t="s">
        <v>136</v>
      </c>
    </row>
    <row r="34" spans="2:6">
      <c r="B34" s="58"/>
      <c r="C34" s="58" t="s">
        <v>120</v>
      </c>
      <c r="D34" s="58" t="s">
        <v>121</v>
      </c>
      <c r="E34" s="60" t="s">
        <v>129</v>
      </c>
      <c r="F34" s="67"/>
    </row>
    <row r="35" spans="2:6">
      <c r="B35" s="58"/>
      <c r="C35" s="58"/>
      <c r="D35" s="58" t="s">
        <v>47</v>
      </c>
      <c r="E35" s="60" t="s">
        <v>140</v>
      </c>
      <c r="F35" s="67" t="s">
        <v>130</v>
      </c>
    </row>
    <row r="36" spans="2:6">
      <c r="B36" s="58"/>
      <c r="C36" s="58"/>
      <c r="D36" s="58" t="s">
        <v>48</v>
      </c>
      <c r="E36" s="60" t="s">
        <v>140</v>
      </c>
      <c r="F36" s="67" t="s">
        <v>130</v>
      </c>
    </row>
    <row r="37" spans="2:6">
      <c r="B37" s="58"/>
      <c r="C37" s="58"/>
      <c r="D37" s="58" t="s">
        <v>122</v>
      </c>
      <c r="E37" s="60" t="s">
        <v>138</v>
      </c>
      <c r="F37" s="67" t="s">
        <v>136</v>
      </c>
    </row>
    <row r="38" spans="2:6">
      <c r="B38" s="58"/>
      <c r="C38" s="58"/>
      <c r="D38" s="58" t="s">
        <v>123</v>
      </c>
      <c r="E38" s="60" t="s">
        <v>140</v>
      </c>
      <c r="F38" s="67" t="s">
        <v>130</v>
      </c>
    </row>
    <row r="39" spans="2:6">
      <c r="B39" s="58"/>
      <c r="C39" s="58"/>
      <c r="D39" s="58" t="s">
        <v>124</v>
      </c>
      <c r="E39" s="60" t="s">
        <v>129</v>
      </c>
      <c r="F39" s="67"/>
    </row>
    <row r="40" spans="2:6">
      <c r="B40" s="58"/>
      <c r="C40" s="58"/>
      <c r="D40" s="58" t="s">
        <v>38</v>
      </c>
      <c r="E40" s="60" t="s">
        <v>138</v>
      </c>
      <c r="F40" s="67" t="s">
        <v>136</v>
      </c>
    </row>
    <row r="41" spans="2:6">
      <c r="B41" s="58"/>
      <c r="C41" s="58"/>
      <c r="D41" s="58" t="s">
        <v>50</v>
      </c>
      <c r="E41" s="60" t="s">
        <v>140</v>
      </c>
      <c r="F41" s="67" t="s">
        <v>130</v>
      </c>
    </row>
    <row r="42" spans="2:6">
      <c r="B42" s="58"/>
      <c r="C42" s="58"/>
      <c r="D42" s="58" t="s">
        <v>49</v>
      </c>
      <c r="E42" s="60" t="s">
        <v>140</v>
      </c>
      <c r="F42" s="67" t="s">
        <v>130</v>
      </c>
    </row>
    <row r="43" spans="2:6">
      <c r="B43" s="58"/>
      <c r="C43" s="58"/>
      <c r="D43" s="58" t="s">
        <v>125</v>
      </c>
      <c r="E43" s="60" t="s">
        <v>140</v>
      </c>
      <c r="F43" s="67" t="s">
        <v>130</v>
      </c>
    </row>
    <row r="44" spans="2:6">
      <c r="B44" s="58"/>
      <c r="C44" s="58"/>
      <c r="D44" s="58" t="s">
        <v>126</v>
      </c>
      <c r="E44" s="60" t="s">
        <v>129</v>
      </c>
      <c r="F44" s="67"/>
    </row>
  </sheetData>
  <conditionalFormatting sqref="E3:E44">
    <cfRule type="cellIs" dxfId="1" priority="1" operator="equal">
      <formula>"None"</formula>
    </cfRule>
    <cfRule type="cellIs" dxfId="0" priority="2" operator="equal">
      <formula>"Pending"</formula>
    </cfRule>
  </conditionalFormatting>
  <dataValidations count="2">
    <dataValidation type="list" allowBlank="1" showInputMessage="1" showErrorMessage="1" sqref="E3:E44" xr:uid="{28DA775B-7431-4BA5-B9AA-F300AA62D5BB}">
      <formula1>$H$3:$H$7</formula1>
    </dataValidation>
    <dataValidation type="list" allowBlank="1" showInputMessage="1" showErrorMessage="1" sqref="F3:F44" xr:uid="{09538879-94FA-4586-9262-57F2945DBCFB}">
      <formula1>$J$3:$J$20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87CF1221150845BACE7D15E3E377DE" ma:contentTypeVersion="16" ma:contentTypeDescription="Create a new document." ma:contentTypeScope="" ma:versionID="8f6d0f95c8b5e1f263ce8c18e123d504">
  <xsd:schema xmlns:xsd="http://www.w3.org/2001/XMLSchema" xmlns:xs="http://www.w3.org/2001/XMLSchema" xmlns:p="http://schemas.microsoft.com/office/2006/metadata/properties" xmlns:ns2="f03f0ec9-1341-49fa-8d06-6c7c056fbe26" xmlns:ns3="040ec9e3-55b8-49f1-ae7d-5edfbfe4f661" targetNamespace="http://schemas.microsoft.com/office/2006/metadata/properties" ma:root="true" ma:fieldsID="e7717be95d30bb35d0950f0d1e6c8671" ns2:_="" ns3:_="">
    <xsd:import namespace="f03f0ec9-1341-49fa-8d06-6c7c056fbe26"/>
    <xsd:import namespace="040ec9e3-55b8-49f1-ae7d-5edfbfe4f6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Comme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f0ec9-1341-49fa-8d06-6c7c056fbe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c019508c-797f-41eb-bc12-3213928759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Comments" ma:index="16" nillable="true" ma:displayName="Comments" ma:format="Dropdown" ma:internalName="Comments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0ec9e3-55b8-49f1-ae7d-5edfbfe4f661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8f3e342f-a123-4d03-af33-31e50ab16af7}" ma:internalName="TaxCatchAll" ma:showField="CatchAllData" ma:web="040ec9e3-55b8-49f1-ae7d-5edfbfe4f6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mments xmlns="f03f0ec9-1341-49fa-8d06-6c7c056fbe26" xsi:nil="true"/>
    <lcf76f155ced4ddcb4097134ff3c332f xmlns="f03f0ec9-1341-49fa-8d06-6c7c056fbe26">
      <Terms xmlns="http://schemas.microsoft.com/office/infopath/2007/PartnerControls"/>
    </lcf76f155ced4ddcb4097134ff3c332f>
    <TaxCatchAll xmlns="040ec9e3-55b8-49f1-ae7d-5edfbfe4f661" xsi:nil="true"/>
  </documentManagement>
</p:properties>
</file>

<file path=customXml/itemProps1.xml><?xml version="1.0" encoding="utf-8"?>
<ds:datastoreItem xmlns:ds="http://schemas.openxmlformats.org/officeDocument/2006/customXml" ds:itemID="{60850041-EA87-4A21-8F0B-4D1C9F3892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50FF9C-689E-4DC1-B9F6-58A0AE8AB6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3f0ec9-1341-49fa-8d06-6c7c056fbe26"/>
    <ds:schemaRef ds:uri="040ec9e3-55b8-49f1-ae7d-5edfbfe4f6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71D7168-0952-483D-BA1D-D0726DC2A6BE}">
  <ds:schemaRefs>
    <ds:schemaRef ds:uri="http://schemas.microsoft.com/office/2006/metadata/properties"/>
    <ds:schemaRef ds:uri="http://schemas.microsoft.com/office/infopath/2007/PartnerControls"/>
    <ds:schemaRef ds:uri="f03f0ec9-1341-49fa-8d06-6c7c056fbe26"/>
    <ds:schemaRef ds:uri="040ec9e3-55b8-49f1-ae7d-5edfbfe4f66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Cover Page</vt:lpstr>
      <vt:lpstr>Summary</vt:lpstr>
      <vt:lpstr>Lookup</vt:lpstr>
      <vt:lpstr>'Cover Page'!PowerSupplyFirmwareVersion</vt:lpstr>
      <vt:lpstr>'Cover Page'!PowerSupplyModel</vt:lpstr>
      <vt:lpstr>'Cover Page'!PowerSupplySerialNumber</vt:lpstr>
      <vt:lpstr>'Cover Page'!Print_Area</vt:lpstr>
      <vt:lpstr>Summary!SlotLookup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Wafiy Bin Abdul Rahim</dc:creator>
  <cp:lastModifiedBy>Abdul Wafiy Bin Abdul Rahim</cp:lastModifiedBy>
  <dcterms:created xsi:type="dcterms:W3CDTF">2026-10-22T03:25:24Z</dcterms:created>
  <dcterms:modified xsi:type="dcterms:W3CDTF">2026-10-27T02:36:00Z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051c3a-7f87-4c9a-95ca-1c209645450d_Enabled">
    <vt:lpwstr>true</vt:lpwstr>
  </property>
  <property fmtid="{D5CDD505-2E9C-101B-9397-08002B2CF9AE}" pid="3" name="MSIP_Label_a7051c3a-7f87-4c9a-95ca-1c209645450d_SetDate">
    <vt:lpwstr>2026-10-22T05:04:32Z</vt:lpwstr>
  </property>
  <property fmtid="{D5CDD505-2E9C-101B-9397-08002B2CF9AE}" pid="4" name="MSIP_Label_a7051c3a-7f87-4c9a-95ca-1c209645450d_Method">
    <vt:lpwstr>Standard</vt:lpwstr>
  </property>
  <property fmtid="{D5CDD505-2E9C-101B-9397-08002B2CF9AE}" pid="5" name="MSIP_Label_a7051c3a-7f87-4c9a-95ca-1c209645450d_Name">
    <vt:lpwstr>a7051c3a-7f87-4c9a-95ca-1c209645450d</vt:lpwstr>
  </property>
  <property fmtid="{D5CDD505-2E9C-101B-9397-08002B2CF9AE}" pid="6" name="MSIP_Label_a7051c3a-7f87-4c9a-95ca-1c209645450d_SiteId">
    <vt:lpwstr>01e41096-b0ce-420e-a9b6-b9a7a506ab87</vt:lpwstr>
  </property>
  <property fmtid="{D5CDD505-2E9C-101B-9397-08002B2CF9AE}" pid="7" name="MSIP_Label_a7051c3a-7f87-4c9a-95ca-1c209645450d_ActionId">
    <vt:lpwstr>a94543bb-cb24-4ec5-b29f-eff667fbf99b</vt:lpwstr>
  </property>
  <property fmtid="{D5CDD505-2E9C-101B-9397-08002B2CF9AE}" pid="8" name="MSIP_Label_a7051c3a-7f87-4c9a-95ca-1c209645450d_ContentBits">
    <vt:lpwstr>0</vt:lpwstr>
  </property>
  <property fmtid="{D5CDD505-2E9C-101B-9397-08002B2CF9AE}" pid="9" name="MSIP_Label_a7051c3a-7f87-4c9a-95ca-1c209645450d_Tag">
    <vt:lpwstr>10, 3, 0, 1</vt:lpwstr>
  </property>
  <property fmtid="{D5CDD505-2E9C-101B-9397-08002B2CF9AE}" pid="10" name="MediaServiceImageTags">
    <vt:lpwstr/>
  </property>
  <property fmtid="{D5CDD505-2E9C-101B-9397-08002B2CF9AE}" pid="11" name="ContentTypeId">
    <vt:lpwstr>0x0101008E87CF1221150845BACE7D15E3E377DE</vt:lpwstr>
  </property>
</Properties>
</file>